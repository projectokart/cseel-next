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rspace Full Catalog" sheetId="1" r:id="rId1"/>
  </sheets>
  <calcPr calcId="124519" fullCalcOnLoad="1"/>
</workbook>
</file>

<file path=xl/sharedStrings.xml><?xml version="1.0" encoding="utf-8"?>
<sst xmlns="http://schemas.openxmlformats.org/spreadsheetml/2006/main" count="1046" uniqueCount="479">
  <si>
    <t>CENTRE FOR SCIENCE, ENGINEERING &amp; EXPERIENTIAL LEARNING (CSEEL)</t>
  </si>
  <si>
    <t>Makerspace &amp; Experiential Innovation Lab — Complete 327 Items Material Catalog &amp; Procurement BOQ</t>
  </si>
  <si>
    <t>Includes Verified High-Resolution Product Photography, Detailed Specifications, Unit Rates &amp; Sizing for Primary/Middle Schools</t>
  </si>
  <si>
    <t>Status: Final Verified Catalog</t>
  </si>
  <si>
    <t>Procurement Currency: Indian Rupee (INR ₹)</t>
  </si>
  <si>
    <t>Designed strictly for educational makerspaces (Class 1–8)</t>
  </si>
  <si>
    <t>S.No</t>
  </si>
  <si>
    <t>Category</t>
  </si>
  <si>
    <t>Item Name &amp; Description</t>
  </si>
  <si>
    <t>Product Photo</t>
  </si>
  <si>
    <t>Pack / Quantity Sizing</t>
  </si>
  <si>
    <t>Qty Units</t>
  </si>
  <si>
    <t>Unit Price (₹)</t>
  </si>
  <si>
    <t>Estimated Total (₹)</t>
  </si>
  <si>
    <t xml:space="preserve">  1. FURNITURE &amp; INTERIOR INFRASTRUCTURE (28 Items)</t>
  </si>
  <si>
    <t>Interior &amp; Ergonomics</t>
  </si>
  <si>
    <t>Child-friendly collaborative worktables</t>
  </si>
  <si>
    <t>5–6</t>
  </si>
  <si>
    <t>Junior-height chairs / stools</t>
  </si>
  <si>
    <t>40–44</t>
  </si>
  <si>
    <t>Teacher / facilitator table</t>
  </si>
  <si>
    <t>1</t>
  </si>
  <si>
    <t>Teacher chair</t>
  </si>
  <si>
    <t>[Photo Available]</t>
  </si>
  <si>
    <t>1–2</t>
  </si>
  <si>
    <t>Small wooden Cave / quiet nooks</t>
  </si>
  <si>
    <t>2–3</t>
  </si>
  <si>
    <t>Cave cushions and backrest cushions</t>
  </si>
  <si>
    <t>12–18</t>
  </si>
  <si>
    <t>Floor poufs / soft seating</t>
  </si>
  <si>
    <t>8–12</t>
  </si>
  <si>
    <t>Round / modular discussion table</t>
  </si>
  <si>
    <t>Open wooden material shelves</t>
  </si>
  <si>
    <t>6–10</t>
  </si>
  <si>
    <t>Transparent storage bins</t>
  </si>
  <si>
    <t>30–50</t>
  </si>
  <si>
    <t>Wall-mounted pegboards</t>
  </si>
  <si>
    <t>3–5 panels</t>
  </si>
  <si>
    <t>Tool hooks and pegboard accessories</t>
  </si>
  <si>
    <t>1 set</t>
  </si>
  <si>
    <t>Project display shelves</t>
  </si>
  <si>
    <t>2–4</t>
  </si>
  <si>
    <t>Student project display boards</t>
  </si>
  <si>
    <t>Individual / group storage lockers</t>
  </si>
  <si>
    <t>20–40 compartments</t>
  </si>
  <si>
    <t>Circular book or activity carousel</t>
  </si>
  <si>
    <t>Mobile utility trolley</t>
  </si>
  <si>
    <t>Waste and recycling bins</t>
  </si>
  <si>
    <t>4–6</t>
  </si>
  <si>
    <t>Whiteboard / writable wall</t>
  </si>
  <si>
    <t>Pin-up boards and noticeboards</t>
  </si>
  <si>
    <t>Wooden wall cladding / decorative panels</t>
  </si>
  <si>
    <t>As per design</t>
  </si>
  <si>
    <t>Acoustic ceiling panels / baffles</t>
  </si>
  <si>
    <t>As per acoustic design</t>
  </si>
  <si>
    <t>LED general and task lighting</t>
  </si>
  <si>
    <t>As per layout</t>
  </si>
  <si>
    <t>Power sockets and protected cable management</t>
  </si>
  <si>
    <t>As per electrical plan</t>
  </si>
  <si>
    <t>Curtains / blinds, if required</t>
  </si>
  <si>
    <t>As per windows</t>
  </si>
  <si>
    <t>Plants and child-safe planters</t>
  </si>
  <si>
    <t>Zone labels and learning signage</t>
  </si>
  <si>
    <t>1 complete set</t>
  </si>
  <si>
    <t>Anti-slip floor mats for selected workstations</t>
  </si>
  <si>
    <t xml:space="preserve">  2. BASIC TOOLS FOR MAKING &amp; CONSTRUCTION (28 Items)</t>
  </si>
  <si>
    <t>Hand Tools &amp; Fasteners</t>
  </si>
  <si>
    <t>Child-safe scissors</t>
  </si>
  <si>
    <t>40</t>
  </si>
  <si>
    <t>Adult / facilitator scissors</t>
  </si>
  <si>
    <t>6–8</t>
  </si>
  <si>
    <t>Rulers, 30 cm</t>
  </si>
  <si>
    <t>Measuring tapes</t>
  </si>
  <si>
    <t>8–10</t>
  </si>
  <si>
    <t>Set squares and protractors</t>
  </si>
  <si>
    <t>20 sets</t>
  </si>
  <si>
    <t>Pencils and erasers</t>
  </si>
  <si>
    <t>40–50 sets</t>
  </si>
  <si>
    <t>Screwdriver sets</t>
  </si>
  <si>
    <t>Small screwdrivers for supervised projects</t>
  </si>
  <si>
    <t>10–12</t>
  </si>
  <si>
    <t>Combination pliers</t>
  </si>
  <si>
    <t>6</t>
  </si>
  <si>
    <t>Long-nose pliers</t>
  </si>
  <si>
    <t>Side cutters / wire cutters (facilitator-controlled)</t>
  </si>
  <si>
    <t>Child-safe hand drills / manual pin drills (supervised)</t>
  </si>
  <si>
    <t>Small hand clamps</t>
  </si>
  <si>
    <t>Spring clamps</t>
  </si>
  <si>
    <t>12–16</t>
  </si>
  <si>
    <t>Small hammers / lightweight mallets</t>
  </si>
  <si>
    <t>Hole punches</t>
  </si>
  <si>
    <t>Tweezers</t>
  </si>
  <si>
    <t>Blunt-tip craft awls (supervised)</t>
  </si>
  <si>
    <t>Sanding blocks</t>
  </si>
  <si>
    <t>Safety goggles</t>
  </si>
  <si>
    <t>20–40, activity-dependent</t>
  </si>
  <si>
    <t>Reusable cutting mats</t>
  </si>
  <si>
    <t>Glue sticks and glue applicators</t>
  </si>
  <si>
    <t>40+</t>
  </si>
  <si>
    <t>Double-sided tape dispensers</t>
  </si>
  <si>
    <t>Low-temperature glue guns (adult-controlled)</t>
  </si>
  <si>
    <t>Utility knives / craft blades (adult-only)</t>
  </si>
  <si>
    <t>Digital weighing scales</t>
  </si>
  <si>
    <t>Handheld magnifiers</t>
  </si>
  <si>
    <t>10–15</t>
  </si>
  <si>
    <t>Hand-operated mini vice, securely mounted</t>
  </si>
  <si>
    <t xml:space="preserve">  3. ROBOTICS, CODING &amp; TECHNOLOGY (28 Items)</t>
  </si>
  <si>
    <t>Robotics &amp; AI</t>
  </si>
  <si>
    <t>Bee-Bot / beginner programmable floor robots</t>
  </si>
  <si>
    <t>Coding grid mats</t>
  </si>
  <si>
    <t>4</t>
  </si>
  <si>
    <t>Coding direction and challenge cards</t>
  </si>
  <si>
    <t>8–10 sets</t>
  </si>
  <si>
    <t>Beginner robotics construction kits</t>
  </si>
  <si>
    <t>Gears, axles and wheels (LEGO-compatible or equivalent)</t>
  </si>
  <si>
    <t>10–15 sets</t>
  </si>
  <si>
    <t>Building blocks / engineering construction sets</t>
  </si>
  <si>
    <t>10–12 sets</t>
  </si>
  <si>
    <t>Battery-powered educational motor kits</t>
  </si>
  <si>
    <t>Gear and pulley construction models</t>
  </si>
  <si>
    <t>6–8 sets</t>
  </si>
  <si>
    <t>Simple hydraulic / pneumatic construction kits</t>
  </si>
  <si>
    <t>4–6 sets</t>
  </si>
  <si>
    <t>Snap Circuits or equivalent safe circuit kits</t>
  </si>
  <si>
    <t>Beginner microcontroller kits (e.g., micro:bit)</t>
  </si>
  <si>
    <t>Sensor modules for coding projects</t>
  </si>
  <si>
    <t>Ultrasonic distance sensors</t>
  </si>
  <si>
    <t>Light sensors</t>
  </si>
  <si>
    <t>Temperature and humidity sensors</t>
  </si>
  <si>
    <t>LED modules and indicator lights</t>
  </si>
  <si>
    <t>Buzzer modules</t>
  </si>
  <si>
    <t>Servo motors</t>
  </si>
  <si>
    <t>Small DC motors</t>
  </si>
  <si>
    <t>15–20</t>
  </si>
  <si>
    <t>Motor wheels and suitable project propellers</t>
  </si>
  <si>
    <t>Low-voltage battery holders and battery packs</t>
  </si>
  <si>
    <t>Rechargeable AA/AAA batteries and chargers</t>
  </si>
  <si>
    <t>1–2 charging stations</t>
  </si>
  <si>
    <t>USB cables and data cables</t>
  </si>
  <si>
    <t>Component sorting boxes</t>
  </si>
  <si>
    <t>Laptops / computers for coding</t>
  </si>
  <si>
    <t>Projector or interactive display</t>
  </si>
  <si>
    <t>USB / digital microscopes</t>
  </si>
  <si>
    <t>Beginner drone education set (optional)</t>
  </si>
  <si>
    <t>1–2, supervised</t>
  </si>
  <si>
    <t xml:space="preserve">  4. ELECTRONICS &amp; CIRCUIT-MAKING MATERIALS (20 Items)</t>
  </si>
  <si>
    <t>Circuits &amp; Hardware</t>
  </si>
  <si>
    <t>Breadboards</t>
  </si>
  <si>
    <t>Compatible jumper-wire sets</t>
  </si>
  <si>
    <t>10–15 assorted sets</t>
  </si>
  <si>
    <t>Resistor assortments</t>
  </si>
  <si>
    <t>10 boxes</t>
  </si>
  <si>
    <t>LEDs in multiple colours</t>
  </si>
  <si>
    <t>20–30 assorted packs</t>
  </si>
  <si>
    <t>Push buttons and switches</t>
  </si>
  <si>
    <t>10 assorted sets</t>
  </si>
  <si>
    <t>Buzzers</t>
  </si>
  <si>
    <t>Low-voltage DC motors</t>
  </si>
  <si>
    <t>Small hobby fans</t>
  </si>
  <si>
    <t>Alligator-clip leads</t>
  </si>
  <si>
    <t>Battery holders</t>
  </si>
  <si>
    <t>AA/AAA batteries</t>
  </si>
  <si>
    <t>Initial stock plus replenishment</t>
  </si>
  <si>
    <t>Insulated wires</t>
  </si>
  <si>
    <t>10–15 assorted rolls</t>
  </si>
  <si>
    <t>Copper tape</t>
  </si>
  <si>
    <t>10 rolls</t>
  </si>
  <si>
    <t>Conductive fabric / thread (optional)</t>
  </si>
  <si>
    <t>4–6 packs</t>
  </si>
  <si>
    <t>Aluminium foil and conductive craft materials</t>
  </si>
  <si>
    <t>1 bulk set</t>
  </si>
  <si>
    <t>Multimeters</t>
  </si>
  <si>
    <t>Low-voltage regulated DC power supplies</t>
  </si>
  <si>
    <t>All-in-one circuit experiment boards</t>
  </si>
  <si>
    <t>Component organizers with labels</t>
  </si>
  <si>
    <t>Electrical insulation tape</t>
  </si>
  <si>
    <t xml:space="preserve">  5. ART, CRAFT &amp; CREATIVE PROTOTYPING (40 Items)</t>
  </si>
  <si>
    <t>Creative Prototyping</t>
  </si>
  <si>
    <t>Drawing sheets, A4 and A3</t>
  </si>
  <si>
    <t>1,000 sheets to start</t>
  </si>
  <si>
    <t>Coloured paper and origami paper</t>
  </si>
  <si>
    <t>500–1,000 sheets</t>
  </si>
  <si>
    <t>Cardboard sheets</t>
  </si>
  <si>
    <t>100–150</t>
  </si>
  <si>
    <t>Corrugated cardboard</t>
  </si>
  <si>
    <t>50–100 sheets</t>
  </si>
  <si>
    <t>Cardboard tubes and paper rolls</t>
  </si>
  <si>
    <t>100–200</t>
  </si>
  <si>
    <t>Reusable cardboard offcuts</t>
  </si>
  <si>
    <t>2–4 storage boxes</t>
  </si>
  <si>
    <t>Coloured chart paper</t>
  </si>
  <si>
    <t>100 sheets</t>
  </si>
  <si>
    <t>Construction paper</t>
  </si>
  <si>
    <t>100–200 sheets</t>
  </si>
  <si>
    <t>Poster paints</t>
  </si>
  <si>
    <t>20–30 assorted bottles</t>
  </si>
  <si>
    <t>Watercolour sets</t>
  </si>
  <si>
    <t>20–40 sets</t>
  </si>
  <si>
    <t>Paintbrushes, assorted sizes</t>
  </si>
  <si>
    <t>80–100</t>
  </si>
  <si>
    <t>Paint palettes</t>
  </si>
  <si>
    <t>20</t>
  </si>
  <si>
    <t>Washable markers</t>
  </si>
  <si>
    <t>Crayons / oil pastels</t>
  </si>
  <si>
    <t>Coloured pencils</t>
  </si>
  <si>
    <t>40 sets</t>
  </si>
  <si>
    <t>Air-dry clay</t>
  </si>
  <si>
    <t>20–30 kg initial stock</t>
  </si>
  <si>
    <t>Reusable modelling dough</t>
  </si>
  <si>
    <t>20–30 sets</t>
  </si>
  <si>
    <t>Wooden rolling pins</t>
  </si>
  <si>
    <t>Silicone moulds, shapes and textures</t>
  </si>
  <si>
    <t>20–30</t>
  </si>
  <si>
    <t>Child-safe clay modelling tools</t>
  </si>
  <si>
    <t>Foam sheets / EVA craft foam</t>
  </si>
  <si>
    <t>100–150 sheets</t>
  </si>
  <si>
    <t>Felt sheets</t>
  </si>
  <si>
    <t>100</t>
  </si>
  <si>
    <t>Pipe cleaners / chenille stems</t>
  </si>
  <si>
    <t>500 pieces</t>
  </si>
  <si>
    <t>Ice-cream sticks and craft sticks</t>
  </si>
  <si>
    <t>1,000 pieces</t>
  </si>
  <si>
    <t>Wooden dowels and craft rods</t>
  </si>
  <si>
    <t>200–300</t>
  </si>
  <si>
    <t>Coloured pom-poms</t>
  </si>
  <si>
    <t>Googly eyes</t>
  </si>
  <si>
    <t>Feathers, ribbons, yarn and wool</t>
  </si>
  <si>
    <t>Assorted packs</t>
  </si>
  <si>
    <t>Buttons, beads and sequins</t>
  </si>
  <si>
    <t>10–15 assorted boxes</t>
  </si>
  <si>
    <t>Blunt-ended craft sticks / suitable skewers</t>
  </si>
  <si>
    <t>Non-toxic PVA craft glue</t>
  </si>
  <si>
    <t>10–15 litres initially</t>
  </si>
  <si>
    <t>Glue sticks</t>
  </si>
  <si>
    <t>Washable adhesive tape</t>
  </si>
  <si>
    <t>20–30 rolls</t>
  </si>
  <si>
    <t>Masking tape</t>
  </si>
  <si>
    <t>20 rolls</t>
  </si>
  <si>
    <t>Double-sided tape</t>
  </si>
  <si>
    <t>10–15 rolls</t>
  </si>
  <si>
    <t>Reusable plastic / silicone work mats</t>
  </si>
  <si>
    <t>Aprons</t>
  </si>
  <si>
    <t>Water cups / washable paint containers</t>
  </si>
  <si>
    <t>20–40</t>
  </si>
  <si>
    <t>Reusable mixing bowls and trays</t>
  </si>
  <si>
    <t>Artwork drying racks</t>
  </si>
  <si>
    <t xml:space="preserve">  6. ADVANCED CREATIVE EQUIPMENT (10 Items)</t>
  </si>
  <si>
    <t>Digital Fabrication</t>
  </si>
  <si>
    <t>3D printing pens</t>
  </si>
  <si>
    <t>8–10, optional</t>
  </si>
  <si>
    <t>Compatible low-temperature / manufacturer-approved filament</t>
  </si>
  <si>
    <t>Stock to suit pens</t>
  </si>
  <si>
    <t>Enclosed FDM 3D printer</t>
  </si>
  <si>
    <t>1–2, advanced</t>
  </si>
  <si>
    <t>3D-printer filament</t>
  </si>
  <si>
    <t>5–10 rolls initially</t>
  </si>
  <si>
    <t>Vinyl cutting machine</t>
  </si>
  <si>
    <t>1, optional</t>
  </si>
  <si>
    <t>Digital drawing tablets</t>
  </si>
  <si>
    <t>4–6, optional</t>
  </si>
  <si>
    <t>Craft punch sets</t>
  </si>
  <si>
    <t>Hand-operated paper cutter (adult-controlled)</t>
  </si>
  <si>
    <t>Sewing cards and blunt plastic needles</t>
  </si>
  <si>
    <t>Child-safe weaving looms</t>
  </si>
  <si>
    <t xml:space="preserve">  7. SCIENCE EXPLORATION &amp; EXPERIMENT MATERIALS (40 Items)</t>
  </si>
  <si>
    <t>Experiential Science</t>
  </si>
  <si>
    <t>Hand magnifiers</t>
  </si>
  <si>
    <t>Student microscopes</t>
  </si>
  <si>
    <t>Digital microscopes</t>
  </si>
  <si>
    <t>Binoculars for nature observation</t>
  </si>
  <si>
    <t>Prisms and safe optical blocks</t>
  </si>
  <si>
    <t>Mirrors and reflection experiment sets</t>
  </si>
  <si>
    <t>10 sets</t>
  </si>
  <si>
    <t>Magnets, bar and horseshoe types</t>
  </si>
  <si>
    <t>15–20 sets</t>
  </si>
  <si>
    <t>Magnetic / non-magnetic sample sets</t>
  </si>
  <si>
    <t>Compasses</t>
  </si>
  <si>
    <t>Light boxes / illuminated light tables</t>
  </si>
  <si>
    <t>Translucent geometric shapes</t>
  </si>
  <si>
    <t>Transparent / translucent / opaque sample sets</t>
  </si>
  <si>
    <t>Colour-mixing discs and filters</t>
  </si>
  <si>
    <t>School-suitable thermometers</t>
  </si>
  <si>
    <t>Digital stopwatches</t>
  </si>
  <si>
    <t>10</t>
  </si>
  <si>
    <t>Plastic measuring cylinders</t>
  </si>
  <si>
    <t>Plastic droppers and pipettes</t>
  </si>
  <si>
    <t>40–50</t>
  </si>
  <si>
    <t>Plastic beakers and measuring cups</t>
  </si>
  <si>
    <t>30–40</t>
  </si>
  <si>
    <t>Funnels</t>
  </si>
  <si>
    <t>Trays and spill-resistant tubs</t>
  </si>
  <si>
    <t>Spring balances / force meters</t>
  </si>
  <si>
    <t>Pulley experiment sets</t>
  </si>
  <si>
    <t>Simple machines demonstration sets</t>
  </si>
  <si>
    <t>Balance scales</t>
  </si>
  <si>
    <t>Water wheels / flow experiment models</t>
  </si>
  <si>
    <t>Weather station / rain gauge</t>
  </si>
  <si>
    <t>Wind vanes and anemometers</t>
  </si>
  <si>
    <t>Globe and solar-system model sets</t>
  </si>
  <si>
    <t>Human skeleton model</t>
  </si>
  <si>
    <t>Human torso model</t>
  </si>
  <si>
    <t>Plant, flower and leaf specimen sets</t>
  </si>
  <si>
    <t>Rocks, minerals and fossils collections</t>
  </si>
  <si>
    <t>Ventilated insect observation containers</t>
  </si>
  <si>
    <t>Bird, animal and habitat model sets</t>
  </si>
  <si>
    <t>Electric motor / generator demonstration models</t>
  </si>
  <si>
    <t>Solar-powered educational model sets</t>
  </si>
  <si>
    <t>Wind turbine model sets</t>
  </si>
  <si>
    <t>Sound and vibration experiment sets</t>
  </si>
  <si>
    <t>STEM experiment trays and sorting boxes</t>
  </si>
  <si>
    <t xml:space="preserve">  8. ENGINEERING, STRUCTURES &amp; MODEL-MAKING (30 Items)</t>
  </si>
  <si>
    <t>Mechanisms &amp; Civil</t>
  </si>
  <si>
    <t>Wooden building blocks</t>
  </si>
  <si>
    <t>Interlocking construction blocks</t>
  </si>
  <si>
    <t>Magnetic construction tiles</t>
  </si>
  <si>
    <t>Straw construction kits</t>
  </si>
  <si>
    <t>Straw structure connectors</t>
  </si>
  <si>
    <t>Cardboard engineering kits</t>
  </si>
  <si>
    <t>Bridge-building challenge materials</t>
  </si>
  <si>
    <t>Paper tower challenge materials</t>
  </si>
  <si>
    <t>Gears, axles and wheel assemblies</t>
  </si>
  <si>
    <t>Pulley and lever components</t>
  </si>
  <si>
    <t>Reusable rods and joint construction sets</t>
  </si>
  <si>
    <t>Rubber bands, assorted sizes</t>
  </si>
  <si>
    <t>String, cotton thread and twine</t>
  </si>
  <si>
    <t>Yarn and wool</t>
  </si>
  <si>
    <t>Wooden dowels</t>
  </si>
  <si>
    <t>Lightweight foam blocks</t>
  </si>
  <si>
    <t>100–200 pieces</t>
  </si>
  <si>
    <t>Foam-board sheets</t>
  </si>
  <si>
    <t>Balsa / soft craft wood</t>
  </si>
  <si>
    <t>30–50 strips</t>
  </si>
  <si>
    <t>Corrugated plastic sheets</t>
  </si>
  <si>
    <t>10–20</t>
  </si>
  <si>
    <t>Recycled cartons and packaging boxes</t>
  </si>
  <si>
    <t>Plastic gears and linkage components</t>
  </si>
  <si>
    <t>Small model wheels / caster wheels</t>
  </si>
  <si>
    <t>100 assorted pieces</t>
  </si>
  <si>
    <t>Nuts, bolts and washers for supervised assembly</t>
  </si>
  <si>
    <t>10–15 sorted boxes</t>
  </si>
  <si>
    <t>Reusable fasteners, clips and cable ties</t>
  </si>
  <si>
    <t>Assorted stock</t>
  </si>
  <si>
    <t>Reusable prototyping bases</t>
  </si>
  <si>
    <t>Modelling wire with safe ends</t>
  </si>
  <si>
    <t>Aluminium craft foil</t>
  </si>
  <si>
    <t>Modelling clay for structures</t>
  </si>
  <si>
    <t>10–15 kg</t>
  </si>
  <si>
    <t>Project labels and measurement cards</t>
  </si>
  <si>
    <t xml:space="preserve">  9. MATHEMATICS, LOGIC &amp; SPATIAL REASONING (19 Items)</t>
  </si>
  <si>
    <t>Spatial &amp; Math Labs</t>
  </si>
  <si>
    <t>Pattern blocks</t>
  </si>
  <si>
    <t>Tangrams</t>
  </si>
  <si>
    <t>Geoboards and elastic bands</t>
  </si>
  <si>
    <t>2D and 3D geometric solids</t>
  </si>
  <si>
    <t>Fraction tiles and fraction circles</t>
  </si>
  <si>
    <t>Counting cubes and linking cubes</t>
  </si>
  <si>
    <t>Number lines and number cards</t>
  </si>
  <si>
    <t>Abacus</t>
  </si>
  <si>
    <t>Dice and probability experiment sets</t>
  </si>
  <si>
    <t>Logic puzzles</t>
  </si>
  <si>
    <t>Sudoku / sequencing / pattern cards</t>
  </si>
  <si>
    <t>Spatial reasoning puzzles</t>
  </si>
  <si>
    <t>Balance scales and weights</t>
  </si>
  <si>
    <t>Fraction and measurement games</t>
  </si>
  <si>
    <t>Symmetry mirrors</t>
  </si>
  <si>
    <t>Graph paper and coordinate grids</t>
  </si>
  <si>
    <t>Clock models</t>
  </si>
  <si>
    <t>Shape construction sticks and connectors</t>
  </si>
  <si>
    <t>Math challenge and activity cards</t>
  </si>
  <si>
    <t xml:space="preserve">  10. RECYCLED, NATURAL &amp; SUSTAINABLE MATERIALS (20 Items)</t>
  </si>
  <si>
    <t>Eco &amp; Sustainability</t>
  </si>
  <si>
    <t>Clean cardboard cartons</t>
  </si>
  <si>
    <t>Paper rolls and tubes</t>
  </si>
  <si>
    <t>Clean plastic bottle caps</t>
  </si>
  <si>
    <t>500–1,000</t>
  </si>
  <si>
    <t>Clean plastic bottles / containers</t>
  </si>
  <si>
    <t>Clean paper cups and trays</t>
  </si>
  <si>
    <t>Egg cartons</t>
  </si>
  <si>
    <t>Fabric scraps</t>
  </si>
  <si>
    <t>5–10 kg</t>
  </si>
  <si>
    <t>Yarn and textile offcuts</t>
  </si>
  <si>
    <t>5–10 assorted boxes</t>
  </si>
  <si>
    <t>Clean corks</t>
  </si>
  <si>
    <t>Ice-cream sticks</t>
  </si>
  <si>
    <t>1,000</t>
  </si>
  <si>
    <t>Pine cones, seed pods and dry leaves</t>
  </si>
  <si>
    <t>5–10 collection boxes</t>
  </si>
  <si>
    <t>Smooth wood slices and twigs</t>
  </si>
  <si>
    <t>100–200 assorted pieces</t>
  </si>
  <si>
    <t>Pebbles and smooth stones</t>
  </si>
  <si>
    <t>Shells and natural texture samples</t>
  </si>
  <si>
    <t>Coconut shells / clean natural craft materials</t>
  </si>
  <si>
    <t>Assorted</t>
  </si>
  <si>
    <t>Woven baskets</t>
  </si>
  <si>
    <t>Reusable sorting trays</t>
  </si>
  <si>
    <t>Recycled-paper making frames and screens</t>
  </si>
  <si>
    <t>Soil, sand and gravel for contained investigations</t>
  </si>
  <si>
    <t>Reusable material-collection containers</t>
  </si>
  <si>
    <t xml:space="preserve">  11. STORAGE, LABELLING &amp; MATERIAL MANAGEMENT (18 Items)</t>
  </si>
  <si>
    <t>Lab Organization</t>
  </si>
  <si>
    <t>Transparent stackable storage bins</t>
  </si>
  <si>
    <t>Small component organizers</t>
  </si>
  <si>
    <t>Drawer cabinets for electronics</t>
  </si>
  <si>
    <t>Mobile material trolley</t>
  </si>
  <si>
    <t>Wall-mounted tool racks</t>
  </si>
  <si>
    <t>3–5</t>
  </si>
  <si>
    <t>Lidded containers for consumables</t>
  </si>
  <si>
    <t>Colour-coded trays</t>
  </si>
  <si>
    <t>Label holders and printed labels</t>
  </si>
  <si>
    <t>Student project trays</t>
  </si>
  <si>
    <t>Work-in-progress project shelves</t>
  </si>
  <si>
    <t>2–4 units</t>
  </si>
  <si>
    <t>Finished-project display shelves</t>
  </si>
  <si>
    <t>Books / activity-resource shelves</t>
  </si>
  <si>
    <t>Charging cabinet for rechargeable devices</t>
  </si>
  <si>
    <t>Lockable cabinet for restricted tools</t>
  </si>
  <si>
    <t>2</t>
  </si>
  <si>
    <t>Teacher inventory register / stock system</t>
  </si>
  <si>
    <t>Material checkout / return cards</t>
  </si>
  <si>
    <t>Recycling and waste-sorting stations</t>
  </si>
  <si>
    <t>3–4</t>
  </si>
  <si>
    <t xml:space="preserve">  12. SAFETY &amp; FIRST-AID MATERIALS (18 Items)</t>
  </si>
  <si>
    <t>Safety Protocols</t>
  </si>
  <si>
    <t>First-aid kit</t>
  </si>
  <si>
    <t>Child-sized protective aprons</t>
  </si>
  <si>
    <t>Suitable dust masks for dusty activities</t>
  </si>
  <si>
    <t>As required</t>
  </si>
  <si>
    <t>Protective gloves</t>
  </si>
  <si>
    <t>Activity-dependent stock</t>
  </si>
  <si>
    <t>Handwashing station with soap</t>
  </si>
  <si>
    <t>Paper towels and cleaning cloths</t>
  </si>
  <si>
    <t>Initial stock</t>
  </si>
  <si>
    <t>Spill-cleaning kit</t>
  </si>
  <si>
    <t>Covered waste bins</t>
  </si>
  <si>
    <t>Fire extinguisher suitable for assessed hazards</t>
  </si>
  <si>
    <t>As per safety assessment</t>
  </si>
  <si>
    <t>Smoke detection and alarm provisions</t>
  </si>
  <si>
    <t>As per building requirements</t>
  </si>
  <si>
    <t>Emergency exit signage</t>
  </si>
  <si>
    <t>Electrical isolation / protected outlets</t>
  </si>
  <si>
    <t>Rounded furniture-edge protection</t>
  </si>
  <si>
    <t>Anti-slip floor mats for wet / messy activities</t>
  </si>
  <si>
    <t>Safety rules and emergency instructions</t>
  </si>
  <si>
    <t>2–4 display boards</t>
  </si>
  <si>
    <t>Tool-use and supervision charts</t>
  </si>
  <si>
    <t>Lockable restricted-material storage, if applicable</t>
  </si>
  <si>
    <t xml:space="preserve">  13. PRAYOGI BRANDING &amp; LEARNING DISPLAYS (12 Items)</t>
  </si>
  <si>
    <t>Branding &amp; Aesthetics</t>
  </si>
  <si>
    <t>PRAYOGI wordmark wall signage (without icon)</t>
  </si>
  <si>
    <t>Explore · Experiment · Innovate tagline</t>
  </si>
  <si>
    <t>Design-thinking wall: Define → Ideate → Prototype → Test</t>
  </si>
  <si>
    <t>STEAM zone signs (Science, Technology, Engineering, Art, Math)</t>
  </si>
  <si>
    <t>I AM A MAKER student display wall</t>
  </si>
  <si>
    <t>Student project gallery</t>
  </si>
  <si>
    <t>1–2 areas</t>
  </si>
  <si>
    <t>Idea / brainstorming wall</t>
  </si>
  <si>
    <t>Project documentation boards</t>
  </si>
  <si>
    <t>Learning-resource / challenge-card display</t>
  </si>
  <si>
    <t>Cave zone signage</t>
  </si>
  <si>
    <t>Recycling and sustainability display</t>
  </si>
  <si>
    <t>Rules and safety signage</t>
  </si>
  <si>
    <t xml:space="preserve">  14. OPTIONAL ADVANCED EQUIPMENT (16 Items)</t>
  </si>
  <si>
    <t>Next-Gen Upgrades</t>
  </si>
  <si>
    <t>Enclosed 3D printer</t>
  </si>
  <si>
    <t>Digital microscope</t>
  </si>
  <si>
    <t>Educational drone set</t>
  </si>
  <si>
    <t>Advanced robotics kits</t>
  </si>
  <si>
    <t>Electronics development boards</t>
  </si>
  <si>
    <t>Interactive display / projector</t>
  </si>
  <si>
    <t>Portable document camera</t>
  </si>
  <si>
    <t>Digital camera for project documentation</t>
  </si>
  <si>
    <t>Weather station</t>
  </si>
  <si>
    <t>Solar-energy demonstration kits</t>
  </si>
  <si>
    <t>Advanced engineering construction kits</t>
  </si>
  <si>
    <t>Sound / vibration experiment kits</t>
  </si>
  <si>
    <t>Digital design computers</t>
  </si>
  <si>
    <t>Micro woodturning lathe machine (Proxxon DB 250)</t>
  </si>
  <si>
    <t>Two Trees TTC 450 Pro CNC router &amp; carving machine</t>
  </si>
  <si>
    <t>GRAND TOTAL ESTIMATED PROCUREMENT BUDGET (ALL 327 ITEMS):</t>
  </si>
</sst>
</file>

<file path=xl/styles.xml><?xml version="1.0" encoding="utf-8"?>
<styleSheet xmlns="http://schemas.openxmlformats.org/spreadsheetml/2006/main">
  <numFmts count="1">
    <numFmt numFmtId="164" formatCode="₹#,##0.00"/>
  </numFmts>
  <fonts count="9">
    <font>
      <sz val="11"/>
      <color theme="1"/>
      <name val="Calibri"/>
      <family val="2"/>
      <scheme val="minor"/>
    </font>
    <font>
      <b/>
      <sz val="16"/>
      <color rgb="FF003C6E"/>
      <name val="Segoe UI"/>
      <family val="2"/>
    </font>
    <font>
      <sz val="11"/>
      <color rgb="FF555555"/>
      <name val="Segoe UI"/>
      <family val="2"/>
    </font>
    <font>
      <b/>
      <sz val="10"/>
      <color rgb="FF005689"/>
      <name val="Segoe UI"/>
      <family val="2"/>
    </font>
    <font>
      <b/>
      <sz val="11"/>
      <color rgb="FFFFFFFF"/>
      <name val="Segoe UI"/>
      <family val="2"/>
    </font>
    <font>
      <b/>
      <sz val="12"/>
      <color rgb="FFFFFFFF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2"/>
      <color rgb="FF8A6D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EDF5FA"/>
        <bgColor indexed="64"/>
      </patternFill>
    </fill>
    <fill>
      <patternFill patternType="solid">
        <fgColor rgb="FF005689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FF9D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8" fillId="5" borderId="2" xfId="0" applyFont="1" applyFill="1" applyBorder="1" applyAlignment="1">
      <alignment horizontal="right" vertical="center"/>
    </xf>
    <xf numFmtId="164" fontId="8" fillId="5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jpeg"/><Relationship Id="rId238" Type="http://schemas.openxmlformats.org/officeDocument/2006/relationships/image" Target="../media/image238.jpeg"/><Relationship Id="rId239" Type="http://schemas.openxmlformats.org/officeDocument/2006/relationships/image" Target="../media/image239.jpeg"/><Relationship Id="rId240" Type="http://schemas.openxmlformats.org/officeDocument/2006/relationships/image" Target="../media/image240.jpeg"/><Relationship Id="rId241" Type="http://schemas.openxmlformats.org/officeDocument/2006/relationships/image" Target="../media/image241.jpeg"/><Relationship Id="rId242" Type="http://schemas.openxmlformats.org/officeDocument/2006/relationships/image" Target="../media/image242.jpeg"/><Relationship Id="rId243" Type="http://schemas.openxmlformats.org/officeDocument/2006/relationships/image" Target="../media/image243.jpeg"/><Relationship Id="rId244" Type="http://schemas.openxmlformats.org/officeDocument/2006/relationships/image" Target="../media/image244.jpeg"/><Relationship Id="rId245" Type="http://schemas.openxmlformats.org/officeDocument/2006/relationships/image" Target="../media/image245.jpeg"/><Relationship Id="rId246" Type="http://schemas.openxmlformats.org/officeDocument/2006/relationships/image" Target="../media/image246.jpeg"/><Relationship Id="rId247" Type="http://schemas.openxmlformats.org/officeDocument/2006/relationships/image" Target="../media/image247.jpeg"/><Relationship Id="rId248" Type="http://schemas.openxmlformats.org/officeDocument/2006/relationships/image" Target="../media/image248.jpeg"/><Relationship Id="rId249" Type="http://schemas.openxmlformats.org/officeDocument/2006/relationships/image" Target="../media/image249.jpeg"/><Relationship Id="rId250" Type="http://schemas.openxmlformats.org/officeDocument/2006/relationships/image" Target="../media/image250.jpeg"/><Relationship Id="rId251" Type="http://schemas.openxmlformats.org/officeDocument/2006/relationships/image" Target="../media/image251.jpeg"/><Relationship Id="rId252" Type="http://schemas.openxmlformats.org/officeDocument/2006/relationships/image" Target="../media/image252.jpeg"/><Relationship Id="rId253" Type="http://schemas.openxmlformats.org/officeDocument/2006/relationships/image" Target="../media/image253.jpeg"/><Relationship Id="rId254" Type="http://schemas.openxmlformats.org/officeDocument/2006/relationships/image" Target="../media/image254.jpeg"/><Relationship Id="rId255" Type="http://schemas.openxmlformats.org/officeDocument/2006/relationships/image" Target="../media/image255.jpeg"/><Relationship Id="rId256" Type="http://schemas.openxmlformats.org/officeDocument/2006/relationships/image" Target="../media/image256.jpeg"/><Relationship Id="rId257" Type="http://schemas.openxmlformats.org/officeDocument/2006/relationships/image" Target="../media/image257.jpeg"/><Relationship Id="rId258" Type="http://schemas.openxmlformats.org/officeDocument/2006/relationships/image" Target="../media/image258.jpeg"/><Relationship Id="rId259" Type="http://schemas.openxmlformats.org/officeDocument/2006/relationships/image" Target="../media/image259.jpeg"/><Relationship Id="rId260" Type="http://schemas.openxmlformats.org/officeDocument/2006/relationships/image" Target="../media/image260.jpeg"/><Relationship Id="rId261" Type="http://schemas.openxmlformats.org/officeDocument/2006/relationships/image" Target="../media/image261.jpeg"/><Relationship Id="rId262" Type="http://schemas.openxmlformats.org/officeDocument/2006/relationships/image" Target="../media/image2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7</xdr:row>
      <xdr:rowOff>76200</xdr:rowOff>
    </xdr:from>
    <xdr:to>
      <xdr:col>3</xdr:col>
      <xdr:colOff>819150</xdr:colOff>
      <xdr:row>7</xdr:row>
      <xdr:rowOff>762000</xdr:rowOff>
    </xdr:to>
    <xdr:pic>
      <xdr:nvPicPr>
        <xdr:cNvPr id="2" name="Picture 1" descr="furniture-interior-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0125" y="20478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8</xdr:row>
      <xdr:rowOff>76200</xdr:rowOff>
    </xdr:from>
    <xdr:to>
      <xdr:col>3</xdr:col>
      <xdr:colOff>819150</xdr:colOff>
      <xdr:row>8</xdr:row>
      <xdr:rowOff>762000</xdr:rowOff>
    </xdr:to>
    <xdr:pic>
      <xdr:nvPicPr>
        <xdr:cNvPr id="3" name="Picture 2" descr="furniture-interior-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0125" y="29051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9</xdr:row>
      <xdr:rowOff>76200</xdr:rowOff>
    </xdr:from>
    <xdr:to>
      <xdr:col>3</xdr:col>
      <xdr:colOff>819150</xdr:colOff>
      <xdr:row>9</xdr:row>
      <xdr:rowOff>590550</xdr:rowOff>
    </xdr:to>
    <xdr:pic>
      <xdr:nvPicPr>
        <xdr:cNvPr id="4" name="Picture 3" descr="furniture-interior-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10125" y="3762375"/>
          <a:ext cx="685800" cy="5143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12</xdr:row>
      <xdr:rowOff>76200</xdr:rowOff>
    </xdr:from>
    <xdr:to>
      <xdr:col>3</xdr:col>
      <xdr:colOff>819150</xdr:colOff>
      <xdr:row>12</xdr:row>
      <xdr:rowOff>762000</xdr:rowOff>
    </xdr:to>
    <xdr:pic>
      <xdr:nvPicPr>
        <xdr:cNvPr id="5" name="Picture 4" descr="furniture-interior-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10125" y="63341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13</xdr:row>
      <xdr:rowOff>76200</xdr:rowOff>
    </xdr:from>
    <xdr:to>
      <xdr:col>3</xdr:col>
      <xdr:colOff>819150</xdr:colOff>
      <xdr:row>13</xdr:row>
      <xdr:rowOff>762000</xdr:rowOff>
    </xdr:to>
    <xdr:pic>
      <xdr:nvPicPr>
        <xdr:cNvPr id="6" name="Picture 5" descr="furniture-interior-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10125" y="71913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14</xdr:row>
      <xdr:rowOff>76200</xdr:rowOff>
    </xdr:from>
    <xdr:to>
      <xdr:col>3</xdr:col>
      <xdr:colOff>819150</xdr:colOff>
      <xdr:row>14</xdr:row>
      <xdr:rowOff>762000</xdr:rowOff>
    </xdr:to>
    <xdr:pic>
      <xdr:nvPicPr>
        <xdr:cNvPr id="7" name="Picture 6" descr="furniture-interior-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10125" y="80486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15</xdr:row>
      <xdr:rowOff>76200</xdr:rowOff>
    </xdr:from>
    <xdr:to>
      <xdr:col>3</xdr:col>
      <xdr:colOff>819150</xdr:colOff>
      <xdr:row>15</xdr:row>
      <xdr:rowOff>762000</xdr:rowOff>
    </xdr:to>
    <xdr:pic>
      <xdr:nvPicPr>
        <xdr:cNvPr id="8" name="Picture 7" descr="furniture-interior-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10125" y="89058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16</xdr:row>
      <xdr:rowOff>76200</xdr:rowOff>
    </xdr:from>
    <xdr:to>
      <xdr:col>3</xdr:col>
      <xdr:colOff>819150</xdr:colOff>
      <xdr:row>16</xdr:row>
      <xdr:rowOff>762000</xdr:rowOff>
    </xdr:to>
    <xdr:pic>
      <xdr:nvPicPr>
        <xdr:cNvPr id="9" name="Picture 8" descr="furniture-interior-1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97631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17</xdr:row>
      <xdr:rowOff>76200</xdr:rowOff>
    </xdr:from>
    <xdr:to>
      <xdr:col>3</xdr:col>
      <xdr:colOff>819150</xdr:colOff>
      <xdr:row>17</xdr:row>
      <xdr:rowOff>762000</xdr:rowOff>
    </xdr:to>
    <xdr:pic>
      <xdr:nvPicPr>
        <xdr:cNvPr id="10" name="Picture 9" descr="furniture-interior-1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10125" y="106203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18</xdr:row>
      <xdr:rowOff>76200</xdr:rowOff>
    </xdr:from>
    <xdr:to>
      <xdr:col>3</xdr:col>
      <xdr:colOff>819150</xdr:colOff>
      <xdr:row>18</xdr:row>
      <xdr:rowOff>762000</xdr:rowOff>
    </xdr:to>
    <xdr:pic>
      <xdr:nvPicPr>
        <xdr:cNvPr id="11" name="Picture 10" descr="furniture-interior-1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10125" y="114776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19</xdr:row>
      <xdr:rowOff>76200</xdr:rowOff>
    </xdr:from>
    <xdr:to>
      <xdr:col>3</xdr:col>
      <xdr:colOff>819150</xdr:colOff>
      <xdr:row>19</xdr:row>
      <xdr:rowOff>657225</xdr:rowOff>
    </xdr:to>
    <xdr:pic>
      <xdr:nvPicPr>
        <xdr:cNvPr id="12" name="Picture 11" descr="furniture-interior-1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10125" y="12334875"/>
          <a:ext cx="685800" cy="58102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20</xdr:row>
      <xdr:rowOff>76200</xdr:rowOff>
    </xdr:from>
    <xdr:to>
      <xdr:col>3</xdr:col>
      <xdr:colOff>819150</xdr:colOff>
      <xdr:row>20</xdr:row>
      <xdr:rowOff>762000</xdr:rowOff>
    </xdr:to>
    <xdr:pic>
      <xdr:nvPicPr>
        <xdr:cNvPr id="13" name="Picture 12" descr="furniture-interior-1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810125" y="131921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21</xdr:row>
      <xdr:rowOff>76200</xdr:rowOff>
    </xdr:from>
    <xdr:to>
      <xdr:col>3</xdr:col>
      <xdr:colOff>790575</xdr:colOff>
      <xdr:row>21</xdr:row>
      <xdr:rowOff>762000</xdr:rowOff>
    </xdr:to>
    <xdr:pic>
      <xdr:nvPicPr>
        <xdr:cNvPr id="14" name="Picture 13" descr="furniture-interior-1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10125" y="14049375"/>
          <a:ext cx="65722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22</xdr:row>
      <xdr:rowOff>76200</xdr:rowOff>
    </xdr:from>
    <xdr:to>
      <xdr:col>3</xdr:col>
      <xdr:colOff>561975</xdr:colOff>
      <xdr:row>22</xdr:row>
      <xdr:rowOff>762000</xdr:rowOff>
    </xdr:to>
    <xdr:pic>
      <xdr:nvPicPr>
        <xdr:cNvPr id="15" name="Picture 14" descr="furniture-interior-1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810125" y="14906625"/>
          <a:ext cx="42862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23</xdr:row>
      <xdr:rowOff>76200</xdr:rowOff>
    </xdr:from>
    <xdr:to>
      <xdr:col>3</xdr:col>
      <xdr:colOff>819150</xdr:colOff>
      <xdr:row>23</xdr:row>
      <xdr:rowOff>762000</xdr:rowOff>
    </xdr:to>
    <xdr:pic>
      <xdr:nvPicPr>
        <xdr:cNvPr id="16" name="Picture 15" descr="furniture-interior-1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10125" y="157638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24</xdr:row>
      <xdr:rowOff>76200</xdr:rowOff>
    </xdr:from>
    <xdr:to>
      <xdr:col>3</xdr:col>
      <xdr:colOff>819150</xdr:colOff>
      <xdr:row>24</xdr:row>
      <xdr:rowOff>762000</xdr:rowOff>
    </xdr:to>
    <xdr:pic>
      <xdr:nvPicPr>
        <xdr:cNvPr id="17" name="Picture 16" descr="furniture-interior-1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810125" y="166211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25</xdr:row>
      <xdr:rowOff>76200</xdr:rowOff>
    </xdr:from>
    <xdr:to>
      <xdr:col>3</xdr:col>
      <xdr:colOff>819150</xdr:colOff>
      <xdr:row>25</xdr:row>
      <xdr:rowOff>762000</xdr:rowOff>
    </xdr:to>
    <xdr:pic>
      <xdr:nvPicPr>
        <xdr:cNvPr id="18" name="Picture 17" descr="furniture-interior-1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810125" y="174783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26</xdr:row>
      <xdr:rowOff>76200</xdr:rowOff>
    </xdr:from>
    <xdr:to>
      <xdr:col>3</xdr:col>
      <xdr:colOff>819150</xdr:colOff>
      <xdr:row>26</xdr:row>
      <xdr:rowOff>762000</xdr:rowOff>
    </xdr:to>
    <xdr:pic>
      <xdr:nvPicPr>
        <xdr:cNvPr id="19" name="Picture 18" descr="furniture-interior-2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10125" y="183356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27</xdr:row>
      <xdr:rowOff>76200</xdr:rowOff>
    </xdr:from>
    <xdr:to>
      <xdr:col>3</xdr:col>
      <xdr:colOff>819150</xdr:colOff>
      <xdr:row>27</xdr:row>
      <xdr:rowOff>762000</xdr:rowOff>
    </xdr:to>
    <xdr:pic>
      <xdr:nvPicPr>
        <xdr:cNvPr id="20" name="Picture 19" descr="furniture-interior-2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810125" y="191928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28</xdr:row>
      <xdr:rowOff>76200</xdr:rowOff>
    </xdr:from>
    <xdr:to>
      <xdr:col>3</xdr:col>
      <xdr:colOff>819150</xdr:colOff>
      <xdr:row>28</xdr:row>
      <xdr:rowOff>762000</xdr:rowOff>
    </xdr:to>
    <xdr:pic>
      <xdr:nvPicPr>
        <xdr:cNvPr id="21" name="Picture 20" descr="furniture-interior-2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810125" y="200501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29</xdr:row>
      <xdr:rowOff>76200</xdr:rowOff>
    </xdr:from>
    <xdr:to>
      <xdr:col>3</xdr:col>
      <xdr:colOff>819150</xdr:colOff>
      <xdr:row>29</xdr:row>
      <xdr:rowOff>762000</xdr:rowOff>
    </xdr:to>
    <xdr:pic>
      <xdr:nvPicPr>
        <xdr:cNvPr id="22" name="Picture 21" descr="furniture-interior-2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810125" y="209073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30</xdr:row>
      <xdr:rowOff>76200</xdr:rowOff>
    </xdr:from>
    <xdr:to>
      <xdr:col>3</xdr:col>
      <xdr:colOff>819150</xdr:colOff>
      <xdr:row>30</xdr:row>
      <xdr:rowOff>762000</xdr:rowOff>
    </xdr:to>
    <xdr:pic>
      <xdr:nvPicPr>
        <xdr:cNvPr id="23" name="Picture 22" descr="furniture-interior-2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810125" y="217646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31</xdr:row>
      <xdr:rowOff>76200</xdr:rowOff>
    </xdr:from>
    <xdr:to>
      <xdr:col>3</xdr:col>
      <xdr:colOff>819150</xdr:colOff>
      <xdr:row>31</xdr:row>
      <xdr:rowOff>723900</xdr:rowOff>
    </xdr:to>
    <xdr:pic>
      <xdr:nvPicPr>
        <xdr:cNvPr id="24" name="Picture 23" descr="furniture-interior-2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10125" y="22621875"/>
          <a:ext cx="685800" cy="6477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32</xdr:row>
      <xdr:rowOff>76200</xdr:rowOff>
    </xdr:from>
    <xdr:to>
      <xdr:col>3</xdr:col>
      <xdr:colOff>819150</xdr:colOff>
      <xdr:row>32</xdr:row>
      <xdr:rowOff>762000</xdr:rowOff>
    </xdr:to>
    <xdr:pic>
      <xdr:nvPicPr>
        <xdr:cNvPr id="25" name="Picture 24" descr="furniture-interior-2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810125" y="234791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34</xdr:row>
      <xdr:rowOff>76200</xdr:rowOff>
    </xdr:from>
    <xdr:to>
      <xdr:col>3</xdr:col>
      <xdr:colOff>819150</xdr:colOff>
      <xdr:row>34</xdr:row>
      <xdr:rowOff>762000</xdr:rowOff>
    </xdr:to>
    <xdr:pic>
      <xdr:nvPicPr>
        <xdr:cNvPr id="26" name="Picture 25" descr="furniture-interior-2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810125" y="251936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36</xdr:row>
      <xdr:rowOff>76200</xdr:rowOff>
    </xdr:from>
    <xdr:to>
      <xdr:col>3</xdr:col>
      <xdr:colOff>819150</xdr:colOff>
      <xdr:row>36</xdr:row>
      <xdr:rowOff>762000</xdr:rowOff>
    </xdr:to>
    <xdr:pic>
      <xdr:nvPicPr>
        <xdr:cNvPr id="27" name="Picture 26" descr="basic-tools-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810125" y="263556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37</xdr:row>
      <xdr:rowOff>76200</xdr:rowOff>
    </xdr:from>
    <xdr:to>
      <xdr:col>3</xdr:col>
      <xdr:colOff>819150</xdr:colOff>
      <xdr:row>37</xdr:row>
      <xdr:rowOff>714375</xdr:rowOff>
    </xdr:to>
    <xdr:pic>
      <xdr:nvPicPr>
        <xdr:cNvPr id="28" name="Picture 27" descr="basic-tools-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810125" y="27212925"/>
          <a:ext cx="685800" cy="6381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38</xdr:row>
      <xdr:rowOff>76200</xdr:rowOff>
    </xdr:from>
    <xdr:to>
      <xdr:col>3</xdr:col>
      <xdr:colOff>647700</xdr:colOff>
      <xdr:row>38</xdr:row>
      <xdr:rowOff>762000</xdr:rowOff>
    </xdr:to>
    <xdr:pic>
      <xdr:nvPicPr>
        <xdr:cNvPr id="29" name="Picture 28" descr="basic-tools-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10125" y="28070175"/>
          <a:ext cx="51435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39</xdr:row>
      <xdr:rowOff>76200</xdr:rowOff>
    </xdr:from>
    <xdr:to>
      <xdr:col>3</xdr:col>
      <xdr:colOff>819150</xdr:colOff>
      <xdr:row>39</xdr:row>
      <xdr:rowOff>590550</xdr:rowOff>
    </xdr:to>
    <xdr:pic>
      <xdr:nvPicPr>
        <xdr:cNvPr id="30" name="Picture 29" descr="basic-tools-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810125" y="28927425"/>
          <a:ext cx="685800" cy="5143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40</xdr:row>
      <xdr:rowOff>76200</xdr:rowOff>
    </xdr:from>
    <xdr:to>
      <xdr:col>3</xdr:col>
      <xdr:colOff>819150</xdr:colOff>
      <xdr:row>40</xdr:row>
      <xdr:rowOff>762000</xdr:rowOff>
    </xdr:to>
    <xdr:pic>
      <xdr:nvPicPr>
        <xdr:cNvPr id="31" name="Picture 30" descr="basic-tools-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810125" y="297846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41</xdr:row>
      <xdr:rowOff>76200</xdr:rowOff>
    </xdr:from>
    <xdr:to>
      <xdr:col>3</xdr:col>
      <xdr:colOff>819150</xdr:colOff>
      <xdr:row>41</xdr:row>
      <xdr:rowOff>666750</xdr:rowOff>
    </xdr:to>
    <xdr:pic>
      <xdr:nvPicPr>
        <xdr:cNvPr id="32" name="Picture 31" descr="basic-tools-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810125" y="30641925"/>
          <a:ext cx="685800" cy="5905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42</xdr:row>
      <xdr:rowOff>76200</xdr:rowOff>
    </xdr:from>
    <xdr:to>
      <xdr:col>3</xdr:col>
      <xdr:colOff>819150</xdr:colOff>
      <xdr:row>42</xdr:row>
      <xdr:rowOff>762000</xdr:rowOff>
    </xdr:to>
    <xdr:pic>
      <xdr:nvPicPr>
        <xdr:cNvPr id="33" name="Picture 32" descr="basic-tools-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810125" y="314991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43</xdr:row>
      <xdr:rowOff>76200</xdr:rowOff>
    </xdr:from>
    <xdr:to>
      <xdr:col>3</xdr:col>
      <xdr:colOff>819150</xdr:colOff>
      <xdr:row>43</xdr:row>
      <xdr:rowOff>762000</xdr:rowOff>
    </xdr:to>
    <xdr:pic>
      <xdr:nvPicPr>
        <xdr:cNvPr id="34" name="Picture 33" descr="basic-tools-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10125" y="323564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45</xdr:row>
      <xdr:rowOff>76200</xdr:rowOff>
    </xdr:from>
    <xdr:to>
      <xdr:col>3</xdr:col>
      <xdr:colOff>714375</xdr:colOff>
      <xdr:row>45</xdr:row>
      <xdr:rowOff>762000</xdr:rowOff>
    </xdr:to>
    <xdr:pic>
      <xdr:nvPicPr>
        <xdr:cNvPr id="35" name="Picture 34" descr="basic-tools-1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810125" y="34070925"/>
          <a:ext cx="58102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46</xdr:row>
      <xdr:rowOff>76200</xdr:rowOff>
    </xdr:from>
    <xdr:to>
      <xdr:col>3</xdr:col>
      <xdr:colOff>819150</xdr:colOff>
      <xdr:row>46</xdr:row>
      <xdr:rowOff>762000</xdr:rowOff>
    </xdr:to>
    <xdr:pic>
      <xdr:nvPicPr>
        <xdr:cNvPr id="36" name="Picture 35" descr="basic-tools-1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810125" y="349281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47</xdr:row>
      <xdr:rowOff>76200</xdr:rowOff>
    </xdr:from>
    <xdr:to>
      <xdr:col>3</xdr:col>
      <xdr:colOff>819150</xdr:colOff>
      <xdr:row>47</xdr:row>
      <xdr:rowOff>762000</xdr:rowOff>
    </xdr:to>
    <xdr:pic>
      <xdr:nvPicPr>
        <xdr:cNvPr id="37" name="Picture 36" descr="basic-tools-1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810125" y="357854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48</xdr:row>
      <xdr:rowOff>76200</xdr:rowOff>
    </xdr:from>
    <xdr:to>
      <xdr:col>3</xdr:col>
      <xdr:colOff>819150</xdr:colOff>
      <xdr:row>48</xdr:row>
      <xdr:rowOff>762000</xdr:rowOff>
    </xdr:to>
    <xdr:pic>
      <xdr:nvPicPr>
        <xdr:cNvPr id="38" name="Picture 37" descr="basic-tools-1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810125" y="366426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49</xdr:row>
      <xdr:rowOff>76200</xdr:rowOff>
    </xdr:from>
    <xdr:to>
      <xdr:col>3</xdr:col>
      <xdr:colOff>771525</xdr:colOff>
      <xdr:row>49</xdr:row>
      <xdr:rowOff>762000</xdr:rowOff>
    </xdr:to>
    <xdr:pic>
      <xdr:nvPicPr>
        <xdr:cNvPr id="39" name="Picture 38" descr="basic-tools-1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810125" y="37499925"/>
          <a:ext cx="63817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50</xdr:row>
      <xdr:rowOff>76200</xdr:rowOff>
    </xdr:from>
    <xdr:to>
      <xdr:col>3</xdr:col>
      <xdr:colOff>819150</xdr:colOff>
      <xdr:row>50</xdr:row>
      <xdr:rowOff>762000</xdr:rowOff>
    </xdr:to>
    <xdr:pic>
      <xdr:nvPicPr>
        <xdr:cNvPr id="40" name="Picture 39" descr="basic-tools-1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810125" y="383571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51</xdr:row>
      <xdr:rowOff>76200</xdr:rowOff>
    </xdr:from>
    <xdr:to>
      <xdr:col>3</xdr:col>
      <xdr:colOff>819150</xdr:colOff>
      <xdr:row>51</xdr:row>
      <xdr:rowOff>628650</xdr:rowOff>
    </xdr:to>
    <xdr:pic>
      <xdr:nvPicPr>
        <xdr:cNvPr id="41" name="Picture 40" descr="basic-tools-1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810125" y="39214425"/>
          <a:ext cx="685800" cy="5524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52</xdr:row>
      <xdr:rowOff>76200</xdr:rowOff>
    </xdr:from>
    <xdr:to>
      <xdr:col>3</xdr:col>
      <xdr:colOff>819150</xdr:colOff>
      <xdr:row>52</xdr:row>
      <xdr:rowOff>762000</xdr:rowOff>
    </xdr:to>
    <xdr:pic>
      <xdr:nvPicPr>
        <xdr:cNvPr id="42" name="Picture 41" descr="basic-tools-1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810125" y="400716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54</xdr:row>
      <xdr:rowOff>76200</xdr:rowOff>
    </xdr:from>
    <xdr:to>
      <xdr:col>3</xdr:col>
      <xdr:colOff>819150</xdr:colOff>
      <xdr:row>54</xdr:row>
      <xdr:rowOff>762000</xdr:rowOff>
    </xdr:to>
    <xdr:pic>
      <xdr:nvPicPr>
        <xdr:cNvPr id="43" name="Picture 42" descr="basic-tools-1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810125" y="417861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55</xdr:row>
      <xdr:rowOff>76200</xdr:rowOff>
    </xdr:from>
    <xdr:to>
      <xdr:col>3</xdr:col>
      <xdr:colOff>819150</xdr:colOff>
      <xdr:row>55</xdr:row>
      <xdr:rowOff>466725</xdr:rowOff>
    </xdr:to>
    <xdr:pic>
      <xdr:nvPicPr>
        <xdr:cNvPr id="44" name="Picture 43" descr="basic-tools-2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810125" y="42643425"/>
          <a:ext cx="685800" cy="39052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56</xdr:row>
      <xdr:rowOff>76200</xdr:rowOff>
    </xdr:from>
    <xdr:to>
      <xdr:col>3</xdr:col>
      <xdr:colOff>628650</xdr:colOff>
      <xdr:row>56</xdr:row>
      <xdr:rowOff>762000</xdr:rowOff>
    </xdr:to>
    <xdr:pic>
      <xdr:nvPicPr>
        <xdr:cNvPr id="45" name="Picture 44" descr="basic-tools-2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810125" y="43500675"/>
          <a:ext cx="4953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57</xdr:row>
      <xdr:rowOff>76200</xdr:rowOff>
    </xdr:from>
    <xdr:to>
      <xdr:col>3</xdr:col>
      <xdr:colOff>819150</xdr:colOff>
      <xdr:row>57</xdr:row>
      <xdr:rowOff>590550</xdr:rowOff>
    </xdr:to>
    <xdr:pic>
      <xdr:nvPicPr>
        <xdr:cNvPr id="46" name="Picture 45" descr="basic-tools-2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810125" y="44357925"/>
          <a:ext cx="685800" cy="5143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59</xdr:row>
      <xdr:rowOff>76200</xdr:rowOff>
    </xdr:from>
    <xdr:to>
      <xdr:col>3</xdr:col>
      <xdr:colOff>819150</xdr:colOff>
      <xdr:row>59</xdr:row>
      <xdr:rowOff>609600</xdr:rowOff>
    </xdr:to>
    <xdr:pic>
      <xdr:nvPicPr>
        <xdr:cNvPr id="47" name="Picture 46" descr="basic-tools-2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810125" y="46072425"/>
          <a:ext cx="685800" cy="5334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60</xdr:row>
      <xdr:rowOff>76200</xdr:rowOff>
    </xdr:from>
    <xdr:to>
      <xdr:col>3</xdr:col>
      <xdr:colOff>819150</xdr:colOff>
      <xdr:row>60</xdr:row>
      <xdr:rowOff>600075</xdr:rowOff>
    </xdr:to>
    <xdr:pic>
      <xdr:nvPicPr>
        <xdr:cNvPr id="48" name="Picture 47" descr="basic-tools-2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810125" y="46929675"/>
          <a:ext cx="685800" cy="5238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61</xdr:row>
      <xdr:rowOff>76200</xdr:rowOff>
    </xdr:from>
    <xdr:to>
      <xdr:col>3</xdr:col>
      <xdr:colOff>819150</xdr:colOff>
      <xdr:row>61</xdr:row>
      <xdr:rowOff>762000</xdr:rowOff>
    </xdr:to>
    <xdr:pic>
      <xdr:nvPicPr>
        <xdr:cNvPr id="49" name="Picture 48" descr="basic-tools-2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810125" y="477869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62</xdr:row>
      <xdr:rowOff>76200</xdr:rowOff>
    </xdr:from>
    <xdr:to>
      <xdr:col>3</xdr:col>
      <xdr:colOff>819150</xdr:colOff>
      <xdr:row>62</xdr:row>
      <xdr:rowOff>714375</xdr:rowOff>
    </xdr:to>
    <xdr:pic>
      <xdr:nvPicPr>
        <xdr:cNvPr id="50" name="Picture 49" descr="basic-tools-2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810125" y="48644175"/>
          <a:ext cx="685800" cy="6381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63</xdr:row>
      <xdr:rowOff>76200</xdr:rowOff>
    </xdr:from>
    <xdr:to>
      <xdr:col>3</xdr:col>
      <xdr:colOff>819150</xdr:colOff>
      <xdr:row>63</xdr:row>
      <xdr:rowOff>762000</xdr:rowOff>
    </xdr:to>
    <xdr:pic>
      <xdr:nvPicPr>
        <xdr:cNvPr id="51" name="Picture 50" descr="basic-tools-2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810125" y="495014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65</xdr:row>
      <xdr:rowOff>76200</xdr:rowOff>
    </xdr:from>
    <xdr:to>
      <xdr:col>3</xdr:col>
      <xdr:colOff>819150</xdr:colOff>
      <xdr:row>65</xdr:row>
      <xdr:rowOff>704850</xdr:rowOff>
    </xdr:to>
    <xdr:pic>
      <xdr:nvPicPr>
        <xdr:cNvPr id="52" name="Picture 51" descr="robotics-coding-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810125" y="50663475"/>
          <a:ext cx="685800" cy="6286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66</xdr:row>
      <xdr:rowOff>76200</xdr:rowOff>
    </xdr:from>
    <xdr:to>
      <xdr:col>3</xdr:col>
      <xdr:colOff>819150</xdr:colOff>
      <xdr:row>66</xdr:row>
      <xdr:rowOff>628650</xdr:rowOff>
    </xdr:to>
    <xdr:pic>
      <xdr:nvPicPr>
        <xdr:cNvPr id="53" name="Picture 52" descr="robotics-coding-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810125" y="51520725"/>
          <a:ext cx="685800" cy="5524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67</xdr:row>
      <xdr:rowOff>76200</xdr:rowOff>
    </xdr:from>
    <xdr:to>
      <xdr:col>3</xdr:col>
      <xdr:colOff>638175</xdr:colOff>
      <xdr:row>67</xdr:row>
      <xdr:rowOff>762000</xdr:rowOff>
    </xdr:to>
    <xdr:pic>
      <xdr:nvPicPr>
        <xdr:cNvPr id="54" name="Picture 53" descr="robotics-coding-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810125" y="52377975"/>
          <a:ext cx="50482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68</xdr:row>
      <xdr:rowOff>76200</xdr:rowOff>
    </xdr:from>
    <xdr:to>
      <xdr:col>3</xdr:col>
      <xdr:colOff>819150</xdr:colOff>
      <xdr:row>68</xdr:row>
      <xdr:rowOff>762000</xdr:rowOff>
    </xdr:to>
    <xdr:pic>
      <xdr:nvPicPr>
        <xdr:cNvPr id="55" name="Picture 54" descr="robotics-coding-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810125" y="532352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69</xdr:row>
      <xdr:rowOff>76200</xdr:rowOff>
    </xdr:from>
    <xdr:to>
      <xdr:col>3</xdr:col>
      <xdr:colOff>819150</xdr:colOff>
      <xdr:row>69</xdr:row>
      <xdr:rowOff>704850</xdr:rowOff>
    </xdr:to>
    <xdr:pic>
      <xdr:nvPicPr>
        <xdr:cNvPr id="56" name="Picture 55" descr="robotics-coding-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810125" y="54092475"/>
          <a:ext cx="685800" cy="6286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70</xdr:row>
      <xdr:rowOff>76200</xdr:rowOff>
    </xdr:from>
    <xdr:to>
      <xdr:col>3</xdr:col>
      <xdr:colOff>819150</xdr:colOff>
      <xdr:row>70</xdr:row>
      <xdr:rowOff>590550</xdr:rowOff>
    </xdr:to>
    <xdr:pic>
      <xdr:nvPicPr>
        <xdr:cNvPr id="57" name="Picture 56" descr="robotics-coding-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810125" y="54949725"/>
          <a:ext cx="685800" cy="5143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71</xdr:row>
      <xdr:rowOff>76200</xdr:rowOff>
    </xdr:from>
    <xdr:to>
      <xdr:col>3</xdr:col>
      <xdr:colOff>819150</xdr:colOff>
      <xdr:row>71</xdr:row>
      <xdr:rowOff>762000</xdr:rowOff>
    </xdr:to>
    <xdr:pic>
      <xdr:nvPicPr>
        <xdr:cNvPr id="58" name="Picture 57" descr="robotics-coding-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810125" y="558069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72</xdr:row>
      <xdr:rowOff>76200</xdr:rowOff>
    </xdr:from>
    <xdr:to>
      <xdr:col>3</xdr:col>
      <xdr:colOff>819150</xdr:colOff>
      <xdr:row>72</xdr:row>
      <xdr:rowOff>762000</xdr:rowOff>
    </xdr:to>
    <xdr:pic>
      <xdr:nvPicPr>
        <xdr:cNvPr id="59" name="Picture 58" descr="robotics-coding-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810125" y="566642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73</xdr:row>
      <xdr:rowOff>76200</xdr:rowOff>
    </xdr:from>
    <xdr:to>
      <xdr:col>3</xdr:col>
      <xdr:colOff>819150</xdr:colOff>
      <xdr:row>73</xdr:row>
      <xdr:rowOff>762000</xdr:rowOff>
    </xdr:to>
    <xdr:pic>
      <xdr:nvPicPr>
        <xdr:cNvPr id="60" name="Picture 59" descr="robotics-coding-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810125" y="575214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74</xdr:row>
      <xdr:rowOff>76200</xdr:rowOff>
    </xdr:from>
    <xdr:to>
      <xdr:col>3</xdr:col>
      <xdr:colOff>819150</xdr:colOff>
      <xdr:row>74</xdr:row>
      <xdr:rowOff>638175</xdr:rowOff>
    </xdr:to>
    <xdr:pic>
      <xdr:nvPicPr>
        <xdr:cNvPr id="61" name="Picture 60" descr="robotics-coding-1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810125" y="58378725"/>
          <a:ext cx="685800" cy="5619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75</xdr:row>
      <xdr:rowOff>76200</xdr:rowOff>
    </xdr:from>
    <xdr:to>
      <xdr:col>3</xdr:col>
      <xdr:colOff>819150</xdr:colOff>
      <xdr:row>75</xdr:row>
      <xdr:rowOff>523875</xdr:rowOff>
    </xdr:to>
    <xdr:pic>
      <xdr:nvPicPr>
        <xdr:cNvPr id="62" name="Picture 61" descr="robotics-coding-1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810125" y="59235975"/>
          <a:ext cx="685800" cy="4476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76</xdr:row>
      <xdr:rowOff>76200</xdr:rowOff>
    </xdr:from>
    <xdr:to>
      <xdr:col>3</xdr:col>
      <xdr:colOff>819150</xdr:colOff>
      <xdr:row>76</xdr:row>
      <xdr:rowOff>533400</xdr:rowOff>
    </xdr:to>
    <xdr:pic>
      <xdr:nvPicPr>
        <xdr:cNvPr id="63" name="Picture 62" descr="robotics-coding-1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810125" y="60093225"/>
          <a:ext cx="685800" cy="4572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77</xdr:row>
      <xdr:rowOff>76200</xdr:rowOff>
    </xdr:from>
    <xdr:to>
      <xdr:col>3</xdr:col>
      <xdr:colOff>819150</xdr:colOff>
      <xdr:row>77</xdr:row>
      <xdr:rowOff>590550</xdr:rowOff>
    </xdr:to>
    <xdr:pic>
      <xdr:nvPicPr>
        <xdr:cNvPr id="64" name="Picture 63" descr="robotics-coding-1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810125" y="60950475"/>
          <a:ext cx="685800" cy="5143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78</xdr:row>
      <xdr:rowOff>76200</xdr:rowOff>
    </xdr:from>
    <xdr:to>
      <xdr:col>3</xdr:col>
      <xdr:colOff>819150</xdr:colOff>
      <xdr:row>78</xdr:row>
      <xdr:rowOff>762000</xdr:rowOff>
    </xdr:to>
    <xdr:pic>
      <xdr:nvPicPr>
        <xdr:cNvPr id="65" name="Picture 64" descr="robotics-coding-1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810125" y="618077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79</xdr:row>
      <xdr:rowOff>76200</xdr:rowOff>
    </xdr:from>
    <xdr:to>
      <xdr:col>3</xdr:col>
      <xdr:colOff>819150</xdr:colOff>
      <xdr:row>79</xdr:row>
      <xdr:rowOff>762000</xdr:rowOff>
    </xdr:to>
    <xdr:pic>
      <xdr:nvPicPr>
        <xdr:cNvPr id="66" name="Picture 65" descr="robotics-coding-1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810125" y="626649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80</xdr:row>
      <xdr:rowOff>76200</xdr:rowOff>
    </xdr:from>
    <xdr:to>
      <xdr:col>3</xdr:col>
      <xdr:colOff>819150</xdr:colOff>
      <xdr:row>80</xdr:row>
      <xdr:rowOff>762000</xdr:rowOff>
    </xdr:to>
    <xdr:pic>
      <xdr:nvPicPr>
        <xdr:cNvPr id="67" name="Picture 66" descr="robotics-coding-1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810125" y="635222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81</xdr:row>
      <xdr:rowOff>76200</xdr:rowOff>
    </xdr:from>
    <xdr:to>
      <xdr:col>3</xdr:col>
      <xdr:colOff>819150</xdr:colOff>
      <xdr:row>81</xdr:row>
      <xdr:rowOff>762000</xdr:rowOff>
    </xdr:to>
    <xdr:pic>
      <xdr:nvPicPr>
        <xdr:cNvPr id="68" name="Picture 67" descr="robotics-coding-1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4810125" y="643794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82</xdr:row>
      <xdr:rowOff>76200</xdr:rowOff>
    </xdr:from>
    <xdr:to>
      <xdr:col>3</xdr:col>
      <xdr:colOff>819150</xdr:colOff>
      <xdr:row>82</xdr:row>
      <xdr:rowOff>533400</xdr:rowOff>
    </xdr:to>
    <xdr:pic>
      <xdr:nvPicPr>
        <xdr:cNvPr id="69" name="Picture 68" descr="robotics-coding-1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4810125" y="65236725"/>
          <a:ext cx="685800" cy="4572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83</xdr:row>
      <xdr:rowOff>76200</xdr:rowOff>
    </xdr:from>
    <xdr:to>
      <xdr:col>3</xdr:col>
      <xdr:colOff>819150</xdr:colOff>
      <xdr:row>83</xdr:row>
      <xdr:rowOff>762000</xdr:rowOff>
    </xdr:to>
    <xdr:pic>
      <xdr:nvPicPr>
        <xdr:cNvPr id="70" name="Picture 69" descr="robotics-coding-1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4810125" y="660939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84</xdr:row>
      <xdr:rowOff>76200</xdr:rowOff>
    </xdr:from>
    <xdr:to>
      <xdr:col>3</xdr:col>
      <xdr:colOff>819150</xdr:colOff>
      <xdr:row>84</xdr:row>
      <xdr:rowOff>762000</xdr:rowOff>
    </xdr:to>
    <xdr:pic>
      <xdr:nvPicPr>
        <xdr:cNvPr id="71" name="Picture 70" descr="robotics-coding-2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4810125" y="669512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85</xdr:row>
      <xdr:rowOff>76200</xdr:rowOff>
    </xdr:from>
    <xdr:to>
      <xdr:col>3</xdr:col>
      <xdr:colOff>819150</xdr:colOff>
      <xdr:row>85</xdr:row>
      <xdr:rowOff>762000</xdr:rowOff>
    </xdr:to>
    <xdr:pic>
      <xdr:nvPicPr>
        <xdr:cNvPr id="72" name="Picture 71" descr="robotics-coding-2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4810125" y="678084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86</xdr:row>
      <xdr:rowOff>76200</xdr:rowOff>
    </xdr:from>
    <xdr:to>
      <xdr:col>3</xdr:col>
      <xdr:colOff>819150</xdr:colOff>
      <xdr:row>86</xdr:row>
      <xdr:rowOff>762000</xdr:rowOff>
    </xdr:to>
    <xdr:pic>
      <xdr:nvPicPr>
        <xdr:cNvPr id="73" name="Picture 72" descr="robotics-coding-2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4810125" y="686657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87</xdr:row>
      <xdr:rowOff>76200</xdr:rowOff>
    </xdr:from>
    <xdr:to>
      <xdr:col>3</xdr:col>
      <xdr:colOff>762000</xdr:colOff>
      <xdr:row>87</xdr:row>
      <xdr:rowOff>762000</xdr:rowOff>
    </xdr:to>
    <xdr:pic>
      <xdr:nvPicPr>
        <xdr:cNvPr id="74" name="Picture 73" descr="robotics-coding-2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4810125" y="69522975"/>
          <a:ext cx="62865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88</xdr:row>
      <xdr:rowOff>76200</xdr:rowOff>
    </xdr:from>
    <xdr:to>
      <xdr:col>3</xdr:col>
      <xdr:colOff>819150</xdr:colOff>
      <xdr:row>88</xdr:row>
      <xdr:rowOff>762000</xdr:rowOff>
    </xdr:to>
    <xdr:pic>
      <xdr:nvPicPr>
        <xdr:cNvPr id="75" name="Picture 74" descr="robotics-coding-2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4810125" y="703802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89</xdr:row>
      <xdr:rowOff>76200</xdr:rowOff>
    </xdr:from>
    <xdr:to>
      <xdr:col>3</xdr:col>
      <xdr:colOff>819150</xdr:colOff>
      <xdr:row>89</xdr:row>
      <xdr:rowOff>533400</xdr:rowOff>
    </xdr:to>
    <xdr:pic>
      <xdr:nvPicPr>
        <xdr:cNvPr id="76" name="Picture 75" descr="robotics-coding-2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4810125" y="71237475"/>
          <a:ext cx="685800" cy="4572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90</xdr:row>
      <xdr:rowOff>76200</xdr:rowOff>
    </xdr:from>
    <xdr:to>
      <xdr:col>3</xdr:col>
      <xdr:colOff>819150</xdr:colOff>
      <xdr:row>90</xdr:row>
      <xdr:rowOff>762000</xdr:rowOff>
    </xdr:to>
    <xdr:pic>
      <xdr:nvPicPr>
        <xdr:cNvPr id="77" name="Picture 76" descr="robotics-coding-2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4810125" y="720947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91</xdr:row>
      <xdr:rowOff>76200</xdr:rowOff>
    </xdr:from>
    <xdr:to>
      <xdr:col>3</xdr:col>
      <xdr:colOff>657225</xdr:colOff>
      <xdr:row>91</xdr:row>
      <xdr:rowOff>762000</xdr:rowOff>
    </xdr:to>
    <xdr:pic>
      <xdr:nvPicPr>
        <xdr:cNvPr id="78" name="Picture 77" descr="robotics-coding-2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4810125" y="72951975"/>
          <a:ext cx="52387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92</xdr:row>
      <xdr:rowOff>76200</xdr:rowOff>
    </xdr:from>
    <xdr:to>
      <xdr:col>3</xdr:col>
      <xdr:colOff>819150</xdr:colOff>
      <xdr:row>92</xdr:row>
      <xdr:rowOff>762000</xdr:rowOff>
    </xdr:to>
    <xdr:pic>
      <xdr:nvPicPr>
        <xdr:cNvPr id="79" name="Picture 78" descr="robotics-coding-2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4810125" y="738092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94</xdr:row>
      <xdr:rowOff>76200</xdr:rowOff>
    </xdr:from>
    <xdr:to>
      <xdr:col>3</xdr:col>
      <xdr:colOff>819150</xdr:colOff>
      <xdr:row>94</xdr:row>
      <xdr:rowOff>638175</xdr:rowOff>
    </xdr:to>
    <xdr:pic>
      <xdr:nvPicPr>
        <xdr:cNvPr id="80" name="Picture 79" descr="electronics-circuits-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810125" y="74971275"/>
          <a:ext cx="685800" cy="5619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95</xdr:row>
      <xdr:rowOff>76200</xdr:rowOff>
    </xdr:from>
    <xdr:to>
      <xdr:col>3</xdr:col>
      <xdr:colOff>819150</xdr:colOff>
      <xdr:row>95</xdr:row>
      <xdr:rowOff>762000</xdr:rowOff>
    </xdr:to>
    <xdr:pic>
      <xdr:nvPicPr>
        <xdr:cNvPr id="81" name="Picture 80" descr="electronics-circuits-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4810125" y="758285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96</xdr:row>
      <xdr:rowOff>76200</xdr:rowOff>
    </xdr:from>
    <xdr:to>
      <xdr:col>3</xdr:col>
      <xdr:colOff>819150</xdr:colOff>
      <xdr:row>96</xdr:row>
      <xdr:rowOff>762000</xdr:rowOff>
    </xdr:to>
    <xdr:pic>
      <xdr:nvPicPr>
        <xdr:cNvPr id="82" name="Picture 81" descr="electronics-circuits-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4810125" y="766857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97</xdr:row>
      <xdr:rowOff>76200</xdr:rowOff>
    </xdr:from>
    <xdr:to>
      <xdr:col>3</xdr:col>
      <xdr:colOff>819150</xdr:colOff>
      <xdr:row>97</xdr:row>
      <xdr:rowOff>762000</xdr:rowOff>
    </xdr:to>
    <xdr:pic>
      <xdr:nvPicPr>
        <xdr:cNvPr id="83" name="Picture 82" descr="electronics-circuits-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4810125" y="775430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98</xdr:row>
      <xdr:rowOff>76200</xdr:rowOff>
    </xdr:from>
    <xdr:to>
      <xdr:col>3</xdr:col>
      <xdr:colOff>819150</xdr:colOff>
      <xdr:row>98</xdr:row>
      <xdr:rowOff>638175</xdr:rowOff>
    </xdr:to>
    <xdr:pic>
      <xdr:nvPicPr>
        <xdr:cNvPr id="84" name="Picture 83" descr="electronics-circuits-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4810125" y="78400275"/>
          <a:ext cx="685800" cy="5619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99</xdr:row>
      <xdr:rowOff>76200</xdr:rowOff>
    </xdr:from>
    <xdr:to>
      <xdr:col>3</xdr:col>
      <xdr:colOff>819150</xdr:colOff>
      <xdr:row>99</xdr:row>
      <xdr:rowOff>762000</xdr:rowOff>
    </xdr:to>
    <xdr:pic>
      <xdr:nvPicPr>
        <xdr:cNvPr id="85" name="Picture 84" descr="electronics-circuits-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4810125" y="792575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100</xdr:row>
      <xdr:rowOff>76200</xdr:rowOff>
    </xdr:from>
    <xdr:to>
      <xdr:col>3</xdr:col>
      <xdr:colOff>819150</xdr:colOff>
      <xdr:row>100</xdr:row>
      <xdr:rowOff>762000</xdr:rowOff>
    </xdr:to>
    <xdr:pic>
      <xdr:nvPicPr>
        <xdr:cNvPr id="86" name="Picture 85" descr="electronics-circuits-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4810125" y="801147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101</xdr:row>
      <xdr:rowOff>76200</xdr:rowOff>
    </xdr:from>
    <xdr:to>
      <xdr:col>3</xdr:col>
      <xdr:colOff>819150</xdr:colOff>
      <xdr:row>101</xdr:row>
      <xdr:rowOff>762000</xdr:rowOff>
    </xdr:to>
    <xdr:pic>
      <xdr:nvPicPr>
        <xdr:cNvPr id="87" name="Picture 86" descr="electronics-circuits-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4810125" y="809720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102</xdr:row>
      <xdr:rowOff>76200</xdr:rowOff>
    </xdr:from>
    <xdr:to>
      <xdr:col>3</xdr:col>
      <xdr:colOff>638175</xdr:colOff>
      <xdr:row>102</xdr:row>
      <xdr:rowOff>762000</xdr:rowOff>
    </xdr:to>
    <xdr:pic>
      <xdr:nvPicPr>
        <xdr:cNvPr id="88" name="Picture 87" descr="electronics-circuits-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4810125" y="81829275"/>
          <a:ext cx="50482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103</xdr:row>
      <xdr:rowOff>76200</xdr:rowOff>
    </xdr:from>
    <xdr:to>
      <xdr:col>3</xdr:col>
      <xdr:colOff>819150</xdr:colOff>
      <xdr:row>103</xdr:row>
      <xdr:rowOff>762000</xdr:rowOff>
    </xdr:to>
    <xdr:pic>
      <xdr:nvPicPr>
        <xdr:cNvPr id="89" name="Picture 88" descr="electronics-circuits-1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4810125" y="826865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104</xdr:row>
      <xdr:rowOff>76200</xdr:rowOff>
    </xdr:from>
    <xdr:to>
      <xdr:col>3</xdr:col>
      <xdr:colOff>561975</xdr:colOff>
      <xdr:row>104</xdr:row>
      <xdr:rowOff>762000</xdr:rowOff>
    </xdr:to>
    <xdr:pic>
      <xdr:nvPicPr>
        <xdr:cNvPr id="90" name="Picture 89" descr="electronics-circuits-1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4810125" y="83543775"/>
          <a:ext cx="42862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105</xdr:row>
      <xdr:rowOff>76200</xdr:rowOff>
    </xdr:from>
    <xdr:to>
      <xdr:col>3</xdr:col>
      <xdr:colOff>476250</xdr:colOff>
      <xdr:row>105</xdr:row>
      <xdr:rowOff>762000</xdr:rowOff>
    </xdr:to>
    <xdr:pic>
      <xdr:nvPicPr>
        <xdr:cNvPr id="91" name="Picture 90" descr="electronics-circuits-1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4810125" y="84401025"/>
          <a:ext cx="3429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106</xdr:row>
      <xdr:rowOff>76200</xdr:rowOff>
    </xdr:from>
    <xdr:to>
      <xdr:col>3</xdr:col>
      <xdr:colOff>790575</xdr:colOff>
      <xdr:row>106</xdr:row>
      <xdr:rowOff>762000</xdr:rowOff>
    </xdr:to>
    <xdr:pic>
      <xdr:nvPicPr>
        <xdr:cNvPr id="92" name="Picture 91" descr="electronics-circuits-1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4810125" y="85258275"/>
          <a:ext cx="65722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107</xdr:row>
      <xdr:rowOff>76200</xdr:rowOff>
    </xdr:from>
    <xdr:to>
      <xdr:col>3</xdr:col>
      <xdr:colOff>790575</xdr:colOff>
      <xdr:row>107</xdr:row>
      <xdr:rowOff>762000</xdr:rowOff>
    </xdr:to>
    <xdr:pic>
      <xdr:nvPicPr>
        <xdr:cNvPr id="93" name="Picture 92" descr="electronics-circuits-1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4810125" y="86115525"/>
          <a:ext cx="65722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109</xdr:row>
      <xdr:rowOff>76200</xdr:rowOff>
    </xdr:from>
    <xdr:to>
      <xdr:col>3</xdr:col>
      <xdr:colOff>704850</xdr:colOff>
      <xdr:row>109</xdr:row>
      <xdr:rowOff>762000</xdr:rowOff>
    </xdr:to>
    <xdr:pic>
      <xdr:nvPicPr>
        <xdr:cNvPr id="94" name="Picture 93" descr="electronics-circuits-1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4810125" y="87830025"/>
          <a:ext cx="5715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110</xdr:row>
      <xdr:rowOff>76200</xdr:rowOff>
    </xdr:from>
    <xdr:to>
      <xdr:col>3</xdr:col>
      <xdr:colOff>819150</xdr:colOff>
      <xdr:row>110</xdr:row>
      <xdr:rowOff>762000</xdr:rowOff>
    </xdr:to>
    <xdr:pic>
      <xdr:nvPicPr>
        <xdr:cNvPr id="95" name="Picture 94" descr="electronics-circuits-1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4810125" y="886872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111</xdr:row>
      <xdr:rowOff>76200</xdr:rowOff>
    </xdr:from>
    <xdr:to>
      <xdr:col>3</xdr:col>
      <xdr:colOff>819150</xdr:colOff>
      <xdr:row>111</xdr:row>
      <xdr:rowOff>762000</xdr:rowOff>
    </xdr:to>
    <xdr:pic>
      <xdr:nvPicPr>
        <xdr:cNvPr id="96" name="Picture 95" descr="electronics-circuits-1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4810125" y="895445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112</xdr:row>
      <xdr:rowOff>76200</xdr:rowOff>
    </xdr:from>
    <xdr:to>
      <xdr:col>3</xdr:col>
      <xdr:colOff>819150</xdr:colOff>
      <xdr:row>112</xdr:row>
      <xdr:rowOff>762000</xdr:rowOff>
    </xdr:to>
    <xdr:pic>
      <xdr:nvPicPr>
        <xdr:cNvPr id="97" name="Picture 96" descr="electronics-circuits-1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4810125" y="904017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113</xdr:row>
      <xdr:rowOff>76200</xdr:rowOff>
    </xdr:from>
    <xdr:to>
      <xdr:col>3</xdr:col>
      <xdr:colOff>819150</xdr:colOff>
      <xdr:row>113</xdr:row>
      <xdr:rowOff>762000</xdr:rowOff>
    </xdr:to>
    <xdr:pic>
      <xdr:nvPicPr>
        <xdr:cNvPr id="98" name="Picture 97" descr="electronics-circuits-2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4810125" y="912590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115</xdr:row>
      <xdr:rowOff>76200</xdr:rowOff>
    </xdr:from>
    <xdr:to>
      <xdr:col>3</xdr:col>
      <xdr:colOff>619125</xdr:colOff>
      <xdr:row>115</xdr:row>
      <xdr:rowOff>762000</xdr:rowOff>
    </xdr:to>
    <xdr:pic>
      <xdr:nvPicPr>
        <xdr:cNvPr id="99" name="Picture 98" descr="art-craft-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4810125" y="92421075"/>
          <a:ext cx="48577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116</xdr:row>
      <xdr:rowOff>76200</xdr:rowOff>
    </xdr:from>
    <xdr:to>
      <xdr:col>3</xdr:col>
      <xdr:colOff>819150</xdr:colOff>
      <xdr:row>116</xdr:row>
      <xdr:rowOff>561975</xdr:rowOff>
    </xdr:to>
    <xdr:pic>
      <xdr:nvPicPr>
        <xdr:cNvPr id="100" name="Picture 99" descr="art-craft-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4810125" y="93278325"/>
          <a:ext cx="685800" cy="4857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117</xdr:row>
      <xdr:rowOff>76200</xdr:rowOff>
    </xdr:from>
    <xdr:to>
      <xdr:col>3</xdr:col>
      <xdr:colOff>819150</xdr:colOff>
      <xdr:row>117</xdr:row>
      <xdr:rowOff>762000</xdr:rowOff>
    </xdr:to>
    <xdr:pic>
      <xdr:nvPicPr>
        <xdr:cNvPr id="101" name="Picture 100" descr="art-craft-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4810125" y="941355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118</xdr:row>
      <xdr:rowOff>76200</xdr:rowOff>
    </xdr:from>
    <xdr:to>
      <xdr:col>3</xdr:col>
      <xdr:colOff>819150</xdr:colOff>
      <xdr:row>118</xdr:row>
      <xdr:rowOff>762000</xdr:rowOff>
    </xdr:to>
    <xdr:pic>
      <xdr:nvPicPr>
        <xdr:cNvPr id="102" name="Picture 101" descr="art-craft-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4810125" y="949928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119</xdr:row>
      <xdr:rowOff>76200</xdr:rowOff>
    </xdr:from>
    <xdr:to>
      <xdr:col>3</xdr:col>
      <xdr:colOff>819150</xdr:colOff>
      <xdr:row>119</xdr:row>
      <xdr:rowOff>762000</xdr:rowOff>
    </xdr:to>
    <xdr:pic>
      <xdr:nvPicPr>
        <xdr:cNvPr id="103" name="Picture 102" descr="art-craft-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4810125" y="958500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121</xdr:row>
      <xdr:rowOff>76200</xdr:rowOff>
    </xdr:from>
    <xdr:to>
      <xdr:col>3</xdr:col>
      <xdr:colOff>819150</xdr:colOff>
      <xdr:row>121</xdr:row>
      <xdr:rowOff>561975</xdr:rowOff>
    </xdr:to>
    <xdr:pic>
      <xdr:nvPicPr>
        <xdr:cNvPr id="104" name="Picture 103" descr="art-craft-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4810125" y="97564575"/>
          <a:ext cx="685800" cy="4857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122</xdr:row>
      <xdr:rowOff>76200</xdr:rowOff>
    </xdr:from>
    <xdr:to>
      <xdr:col>3</xdr:col>
      <xdr:colOff>819150</xdr:colOff>
      <xdr:row>122</xdr:row>
      <xdr:rowOff>561975</xdr:rowOff>
    </xdr:to>
    <xdr:pic>
      <xdr:nvPicPr>
        <xdr:cNvPr id="105" name="Picture 104" descr="art-craft-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4810125" y="98421825"/>
          <a:ext cx="685800" cy="4857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124</xdr:row>
      <xdr:rowOff>76200</xdr:rowOff>
    </xdr:from>
    <xdr:to>
      <xdr:col>3</xdr:col>
      <xdr:colOff>819150</xdr:colOff>
      <xdr:row>124</xdr:row>
      <xdr:rowOff>762000</xdr:rowOff>
    </xdr:to>
    <xdr:pic>
      <xdr:nvPicPr>
        <xdr:cNvPr id="106" name="Picture 105" descr="art-craft-1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4810125" y="1001363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125</xdr:row>
      <xdr:rowOff>76200</xdr:rowOff>
    </xdr:from>
    <xdr:to>
      <xdr:col>3</xdr:col>
      <xdr:colOff>819150</xdr:colOff>
      <xdr:row>125</xdr:row>
      <xdr:rowOff>762000</xdr:rowOff>
    </xdr:to>
    <xdr:pic>
      <xdr:nvPicPr>
        <xdr:cNvPr id="107" name="Picture 106" descr="art-craft-1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4810125" y="1009935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126</xdr:row>
      <xdr:rowOff>76200</xdr:rowOff>
    </xdr:from>
    <xdr:to>
      <xdr:col>3</xdr:col>
      <xdr:colOff>819150</xdr:colOff>
      <xdr:row>126</xdr:row>
      <xdr:rowOff>590550</xdr:rowOff>
    </xdr:to>
    <xdr:pic>
      <xdr:nvPicPr>
        <xdr:cNvPr id="108" name="Picture 107" descr="art-craft-1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4810125" y="101850825"/>
          <a:ext cx="685800" cy="5143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127</xdr:row>
      <xdr:rowOff>76200</xdr:rowOff>
    </xdr:from>
    <xdr:to>
      <xdr:col>3</xdr:col>
      <xdr:colOff>819150</xdr:colOff>
      <xdr:row>127</xdr:row>
      <xdr:rowOff>466725</xdr:rowOff>
    </xdr:to>
    <xdr:pic>
      <xdr:nvPicPr>
        <xdr:cNvPr id="109" name="Picture 108" descr="art-craft-1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4810125" y="102708075"/>
          <a:ext cx="685800" cy="39052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128</xdr:row>
      <xdr:rowOff>76200</xdr:rowOff>
    </xdr:from>
    <xdr:to>
      <xdr:col>3</xdr:col>
      <xdr:colOff>819150</xdr:colOff>
      <xdr:row>128</xdr:row>
      <xdr:rowOff>514350</xdr:rowOff>
    </xdr:to>
    <xdr:pic>
      <xdr:nvPicPr>
        <xdr:cNvPr id="110" name="Picture 109" descr="art-craft-1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4810125" y="103565325"/>
          <a:ext cx="685800" cy="4381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129</xdr:row>
      <xdr:rowOff>76200</xdr:rowOff>
    </xdr:from>
    <xdr:to>
      <xdr:col>3</xdr:col>
      <xdr:colOff>819150</xdr:colOff>
      <xdr:row>129</xdr:row>
      <xdr:rowOff>762000</xdr:rowOff>
    </xdr:to>
    <xdr:pic>
      <xdr:nvPicPr>
        <xdr:cNvPr id="111" name="Picture 110" descr="art-craft-1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4810125" y="1044225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130</xdr:row>
      <xdr:rowOff>76200</xdr:rowOff>
    </xdr:from>
    <xdr:to>
      <xdr:col>3</xdr:col>
      <xdr:colOff>819150</xdr:colOff>
      <xdr:row>130</xdr:row>
      <xdr:rowOff>762000</xdr:rowOff>
    </xdr:to>
    <xdr:pic>
      <xdr:nvPicPr>
        <xdr:cNvPr id="112" name="Picture 111" descr="art-craft-16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4810125" y="1052798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131</xdr:row>
      <xdr:rowOff>76200</xdr:rowOff>
    </xdr:from>
    <xdr:to>
      <xdr:col>3</xdr:col>
      <xdr:colOff>819150</xdr:colOff>
      <xdr:row>131</xdr:row>
      <xdr:rowOff>762000</xdr:rowOff>
    </xdr:to>
    <xdr:pic>
      <xdr:nvPicPr>
        <xdr:cNvPr id="113" name="Picture 112" descr="art-craft-1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4810125" y="1061370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132</xdr:row>
      <xdr:rowOff>76200</xdr:rowOff>
    </xdr:from>
    <xdr:to>
      <xdr:col>3</xdr:col>
      <xdr:colOff>819150</xdr:colOff>
      <xdr:row>132</xdr:row>
      <xdr:rowOff>762000</xdr:rowOff>
    </xdr:to>
    <xdr:pic>
      <xdr:nvPicPr>
        <xdr:cNvPr id="114" name="Picture 113" descr="art-craft-1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4810125" y="1069943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133</xdr:row>
      <xdr:rowOff>76200</xdr:rowOff>
    </xdr:from>
    <xdr:to>
      <xdr:col>3</xdr:col>
      <xdr:colOff>819150</xdr:colOff>
      <xdr:row>133</xdr:row>
      <xdr:rowOff>752475</xdr:rowOff>
    </xdr:to>
    <xdr:pic>
      <xdr:nvPicPr>
        <xdr:cNvPr id="115" name="Picture 114" descr="art-craft-1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4810125" y="107851575"/>
          <a:ext cx="685800" cy="6762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134</xdr:row>
      <xdr:rowOff>76200</xdr:rowOff>
    </xdr:from>
    <xdr:to>
      <xdr:col>3</xdr:col>
      <xdr:colOff>819150</xdr:colOff>
      <xdr:row>134</xdr:row>
      <xdr:rowOff>676275</xdr:rowOff>
    </xdr:to>
    <xdr:pic>
      <xdr:nvPicPr>
        <xdr:cNvPr id="116" name="Picture 115" descr="art-craft-2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4810125" y="108708825"/>
          <a:ext cx="685800" cy="6000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135</xdr:row>
      <xdr:rowOff>76200</xdr:rowOff>
    </xdr:from>
    <xdr:to>
      <xdr:col>3</xdr:col>
      <xdr:colOff>819150</xdr:colOff>
      <xdr:row>135</xdr:row>
      <xdr:rowOff>685800</xdr:rowOff>
    </xdr:to>
    <xdr:pic>
      <xdr:nvPicPr>
        <xdr:cNvPr id="117" name="Picture 116" descr="art-craft-2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4810125" y="109566075"/>
          <a:ext cx="685800" cy="6096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136</xdr:row>
      <xdr:rowOff>76200</xdr:rowOff>
    </xdr:from>
    <xdr:to>
      <xdr:col>3</xdr:col>
      <xdr:colOff>819150</xdr:colOff>
      <xdr:row>136</xdr:row>
      <xdr:rowOff>762000</xdr:rowOff>
    </xdr:to>
    <xdr:pic>
      <xdr:nvPicPr>
        <xdr:cNvPr id="118" name="Picture 117" descr="art-craft-2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4810125" y="1104233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137</xdr:row>
      <xdr:rowOff>76200</xdr:rowOff>
    </xdr:from>
    <xdr:to>
      <xdr:col>3</xdr:col>
      <xdr:colOff>819150</xdr:colOff>
      <xdr:row>137</xdr:row>
      <xdr:rowOff>762000</xdr:rowOff>
    </xdr:to>
    <xdr:pic>
      <xdr:nvPicPr>
        <xdr:cNvPr id="119" name="Picture 118" descr="art-craft-2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4810125" y="1112805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138</xdr:row>
      <xdr:rowOff>76200</xdr:rowOff>
    </xdr:from>
    <xdr:to>
      <xdr:col>3</xdr:col>
      <xdr:colOff>819150</xdr:colOff>
      <xdr:row>138</xdr:row>
      <xdr:rowOff>762000</xdr:rowOff>
    </xdr:to>
    <xdr:pic>
      <xdr:nvPicPr>
        <xdr:cNvPr id="120" name="Picture 119" descr="art-craft-2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4810125" y="1121378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139</xdr:row>
      <xdr:rowOff>76200</xdr:rowOff>
    </xdr:from>
    <xdr:to>
      <xdr:col>3</xdr:col>
      <xdr:colOff>819150</xdr:colOff>
      <xdr:row>139</xdr:row>
      <xdr:rowOff>533400</xdr:rowOff>
    </xdr:to>
    <xdr:pic>
      <xdr:nvPicPr>
        <xdr:cNvPr id="121" name="Picture 120" descr="art-craft-2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4810125" y="112995075"/>
          <a:ext cx="685800" cy="4572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140</xdr:row>
      <xdr:rowOff>76200</xdr:rowOff>
    </xdr:from>
    <xdr:to>
      <xdr:col>3</xdr:col>
      <xdr:colOff>819150</xdr:colOff>
      <xdr:row>140</xdr:row>
      <xdr:rowOff>762000</xdr:rowOff>
    </xdr:to>
    <xdr:pic>
      <xdr:nvPicPr>
        <xdr:cNvPr id="122" name="Picture 121" descr="art-craft-2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4810125" y="1138523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141</xdr:row>
      <xdr:rowOff>76200</xdr:rowOff>
    </xdr:from>
    <xdr:to>
      <xdr:col>3</xdr:col>
      <xdr:colOff>819150</xdr:colOff>
      <xdr:row>141</xdr:row>
      <xdr:rowOff>762000</xdr:rowOff>
    </xdr:to>
    <xdr:pic>
      <xdr:nvPicPr>
        <xdr:cNvPr id="123" name="Picture 122" descr="art-craft-2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4810125" y="1147095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142</xdr:row>
      <xdr:rowOff>76200</xdr:rowOff>
    </xdr:from>
    <xdr:to>
      <xdr:col>3</xdr:col>
      <xdr:colOff>781050</xdr:colOff>
      <xdr:row>142</xdr:row>
      <xdr:rowOff>762000</xdr:rowOff>
    </xdr:to>
    <xdr:pic>
      <xdr:nvPicPr>
        <xdr:cNvPr id="124" name="Picture 123" descr="art-craft-2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4810125" y="115566825"/>
          <a:ext cx="6477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143</xdr:row>
      <xdr:rowOff>76200</xdr:rowOff>
    </xdr:from>
    <xdr:to>
      <xdr:col>3</xdr:col>
      <xdr:colOff>819150</xdr:colOff>
      <xdr:row>143</xdr:row>
      <xdr:rowOff>762000</xdr:rowOff>
    </xdr:to>
    <xdr:pic>
      <xdr:nvPicPr>
        <xdr:cNvPr id="125" name="Picture 124" descr="art-craft-2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4810125" y="1164240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144</xdr:row>
      <xdr:rowOff>76200</xdr:rowOff>
    </xdr:from>
    <xdr:to>
      <xdr:col>3</xdr:col>
      <xdr:colOff>819150</xdr:colOff>
      <xdr:row>144</xdr:row>
      <xdr:rowOff>762000</xdr:rowOff>
    </xdr:to>
    <xdr:pic>
      <xdr:nvPicPr>
        <xdr:cNvPr id="126" name="Picture 125" descr="art-craft-3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4810125" y="1172813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145</xdr:row>
      <xdr:rowOff>76200</xdr:rowOff>
    </xdr:from>
    <xdr:to>
      <xdr:col>3</xdr:col>
      <xdr:colOff>314325</xdr:colOff>
      <xdr:row>145</xdr:row>
      <xdr:rowOff>762000</xdr:rowOff>
    </xdr:to>
    <xdr:pic>
      <xdr:nvPicPr>
        <xdr:cNvPr id="127" name="Picture 126" descr="art-craft-3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4810125" y="118138575"/>
          <a:ext cx="18097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146</xdr:row>
      <xdr:rowOff>76200</xdr:rowOff>
    </xdr:from>
    <xdr:to>
      <xdr:col>3</xdr:col>
      <xdr:colOff>819150</xdr:colOff>
      <xdr:row>146</xdr:row>
      <xdr:rowOff>590550</xdr:rowOff>
    </xdr:to>
    <xdr:pic>
      <xdr:nvPicPr>
        <xdr:cNvPr id="128" name="Picture 127" descr="art-craft-3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810125" y="118995825"/>
          <a:ext cx="685800" cy="5143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147</xdr:row>
      <xdr:rowOff>76200</xdr:rowOff>
    </xdr:from>
    <xdr:to>
      <xdr:col>3</xdr:col>
      <xdr:colOff>819150</xdr:colOff>
      <xdr:row>147</xdr:row>
      <xdr:rowOff>762000</xdr:rowOff>
    </xdr:to>
    <xdr:pic>
      <xdr:nvPicPr>
        <xdr:cNvPr id="129" name="Picture 128" descr="art-craft-33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4810125" y="1198530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148</xdr:row>
      <xdr:rowOff>76200</xdr:rowOff>
    </xdr:from>
    <xdr:to>
      <xdr:col>3</xdr:col>
      <xdr:colOff>819150</xdr:colOff>
      <xdr:row>148</xdr:row>
      <xdr:rowOff>762000</xdr:rowOff>
    </xdr:to>
    <xdr:pic>
      <xdr:nvPicPr>
        <xdr:cNvPr id="130" name="Picture 129" descr="art-craft-3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4810125" y="1207103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149</xdr:row>
      <xdr:rowOff>76200</xdr:rowOff>
    </xdr:from>
    <xdr:to>
      <xdr:col>3</xdr:col>
      <xdr:colOff>819150</xdr:colOff>
      <xdr:row>149</xdr:row>
      <xdr:rowOff>762000</xdr:rowOff>
    </xdr:to>
    <xdr:pic>
      <xdr:nvPicPr>
        <xdr:cNvPr id="131" name="Picture 130" descr="art-craft-3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4810125" y="1215675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150</xdr:row>
      <xdr:rowOff>76200</xdr:rowOff>
    </xdr:from>
    <xdr:to>
      <xdr:col>3</xdr:col>
      <xdr:colOff>819150</xdr:colOff>
      <xdr:row>150</xdr:row>
      <xdr:rowOff>762000</xdr:rowOff>
    </xdr:to>
    <xdr:pic>
      <xdr:nvPicPr>
        <xdr:cNvPr id="132" name="Picture 131" descr="art-craft-3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4810125" y="1224248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151</xdr:row>
      <xdr:rowOff>76200</xdr:rowOff>
    </xdr:from>
    <xdr:to>
      <xdr:col>3</xdr:col>
      <xdr:colOff>819150</xdr:colOff>
      <xdr:row>151</xdr:row>
      <xdr:rowOff>676275</xdr:rowOff>
    </xdr:to>
    <xdr:pic>
      <xdr:nvPicPr>
        <xdr:cNvPr id="133" name="Picture 132" descr="art-craft-3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4810125" y="123282075"/>
          <a:ext cx="685800" cy="6000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152</xdr:row>
      <xdr:rowOff>76200</xdr:rowOff>
    </xdr:from>
    <xdr:to>
      <xdr:col>3</xdr:col>
      <xdr:colOff>819150</xdr:colOff>
      <xdr:row>152</xdr:row>
      <xdr:rowOff>762000</xdr:rowOff>
    </xdr:to>
    <xdr:pic>
      <xdr:nvPicPr>
        <xdr:cNvPr id="134" name="Picture 133" descr="art-craft-3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4810125" y="1241393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153</xdr:row>
      <xdr:rowOff>76200</xdr:rowOff>
    </xdr:from>
    <xdr:to>
      <xdr:col>3</xdr:col>
      <xdr:colOff>819150</xdr:colOff>
      <xdr:row>153</xdr:row>
      <xdr:rowOff>762000</xdr:rowOff>
    </xdr:to>
    <xdr:pic>
      <xdr:nvPicPr>
        <xdr:cNvPr id="135" name="Picture 134" descr="art-craft-3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4810125" y="1249965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154</xdr:row>
      <xdr:rowOff>76200</xdr:rowOff>
    </xdr:from>
    <xdr:to>
      <xdr:col>3</xdr:col>
      <xdr:colOff>819150</xdr:colOff>
      <xdr:row>154</xdr:row>
      <xdr:rowOff>762000</xdr:rowOff>
    </xdr:to>
    <xdr:pic>
      <xdr:nvPicPr>
        <xdr:cNvPr id="136" name="Picture 135" descr="art-craft-4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4810125" y="1258538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156</xdr:row>
      <xdr:rowOff>76200</xdr:rowOff>
    </xdr:from>
    <xdr:to>
      <xdr:col>3</xdr:col>
      <xdr:colOff>819150</xdr:colOff>
      <xdr:row>156</xdr:row>
      <xdr:rowOff>590550</xdr:rowOff>
    </xdr:to>
    <xdr:pic>
      <xdr:nvPicPr>
        <xdr:cNvPr id="137" name="Picture 136" descr="advanced-creative-1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4810125" y="127015875"/>
          <a:ext cx="685800" cy="5143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157</xdr:row>
      <xdr:rowOff>76200</xdr:rowOff>
    </xdr:from>
    <xdr:to>
      <xdr:col>3</xdr:col>
      <xdr:colOff>819150</xdr:colOff>
      <xdr:row>157</xdr:row>
      <xdr:rowOff>762000</xdr:rowOff>
    </xdr:to>
    <xdr:pic>
      <xdr:nvPicPr>
        <xdr:cNvPr id="138" name="Picture 137" descr="advanced-creative-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4810125" y="1278731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158</xdr:row>
      <xdr:rowOff>76200</xdr:rowOff>
    </xdr:from>
    <xdr:to>
      <xdr:col>3</xdr:col>
      <xdr:colOff>695325</xdr:colOff>
      <xdr:row>158</xdr:row>
      <xdr:rowOff>762000</xdr:rowOff>
    </xdr:to>
    <xdr:pic>
      <xdr:nvPicPr>
        <xdr:cNvPr id="139" name="Picture 138" descr="advanced-creative-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4810125" y="128730375"/>
          <a:ext cx="56197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159</xdr:row>
      <xdr:rowOff>76200</xdr:rowOff>
    </xdr:from>
    <xdr:to>
      <xdr:col>3</xdr:col>
      <xdr:colOff>704850</xdr:colOff>
      <xdr:row>159</xdr:row>
      <xdr:rowOff>762000</xdr:rowOff>
    </xdr:to>
    <xdr:pic>
      <xdr:nvPicPr>
        <xdr:cNvPr id="140" name="Picture 139" descr="advanced-creative-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4810125" y="129587625"/>
          <a:ext cx="5715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160</xdr:row>
      <xdr:rowOff>76200</xdr:rowOff>
    </xdr:from>
    <xdr:to>
      <xdr:col>3</xdr:col>
      <xdr:colOff>800100</xdr:colOff>
      <xdr:row>160</xdr:row>
      <xdr:rowOff>762000</xdr:rowOff>
    </xdr:to>
    <xdr:pic>
      <xdr:nvPicPr>
        <xdr:cNvPr id="141" name="Picture 140" descr="advanced-creative-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4810125" y="130444875"/>
          <a:ext cx="66675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161</xdr:row>
      <xdr:rowOff>76200</xdr:rowOff>
    </xdr:from>
    <xdr:to>
      <xdr:col>3</xdr:col>
      <xdr:colOff>819150</xdr:colOff>
      <xdr:row>161</xdr:row>
      <xdr:rowOff>485775</xdr:rowOff>
    </xdr:to>
    <xdr:pic>
      <xdr:nvPicPr>
        <xdr:cNvPr id="142" name="Picture 141" descr="advanced-creative-6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4810125" y="131302125"/>
          <a:ext cx="685800" cy="4095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162</xdr:row>
      <xdr:rowOff>76200</xdr:rowOff>
    </xdr:from>
    <xdr:to>
      <xdr:col>3</xdr:col>
      <xdr:colOff>523875</xdr:colOff>
      <xdr:row>162</xdr:row>
      <xdr:rowOff>762000</xdr:rowOff>
    </xdr:to>
    <xdr:pic>
      <xdr:nvPicPr>
        <xdr:cNvPr id="143" name="Picture 142" descr="advanced-creative-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4810125" y="132159375"/>
          <a:ext cx="39052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163</xdr:row>
      <xdr:rowOff>76200</xdr:rowOff>
    </xdr:from>
    <xdr:to>
      <xdr:col>3</xdr:col>
      <xdr:colOff>704850</xdr:colOff>
      <xdr:row>163</xdr:row>
      <xdr:rowOff>762000</xdr:rowOff>
    </xdr:to>
    <xdr:pic>
      <xdr:nvPicPr>
        <xdr:cNvPr id="144" name="Picture 143" descr="advanced-creative-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4810125" y="133016625"/>
          <a:ext cx="5715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164</xdr:row>
      <xdr:rowOff>76200</xdr:rowOff>
    </xdr:from>
    <xdr:to>
      <xdr:col>3</xdr:col>
      <xdr:colOff>819150</xdr:colOff>
      <xdr:row>164</xdr:row>
      <xdr:rowOff>762000</xdr:rowOff>
    </xdr:to>
    <xdr:pic>
      <xdr:nvPicPr>
        <xdr:cNvPr id="145" name="Picture 144" descr="advanced-creative-9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4810125" y="1338738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165</xdr:row>
      <xdr:rowOff>76200</xdr:rowOff>
    </xdr:from>
    <xdr:to>
      <xdr:col>3</xdr:col>
      <xdr:colOff>819150</xdr:colOff>
      <xdr:row>165</xdr:row>
      <xdr:rowOff>762000</xdr:rowOff>
    </xdr:to>
    <xdr:pic>
      <xdr:nvPicPr>
        <xdr:cNvPr id="146" name="Picture 145" descr="advanced-creative-1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4810125" y="1347311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167</xdr:row>
      <xdr:rowOff>76200</xdr:rowOff>
    </xdr:from>
    <xdr:to>
      <xdr:col>3</xdr:col>
      <xdr:colOff>819150</xdr:colOff>
      <xdr:row>167</xdr:row>
      <xdr:rowOff>714375</xdr:rowOff>
    </xdr:to>
    <xdr:pic>
      <xdr:nvPicPr>
        <xdr:cNvPr id="147" name="Picture 146" descr="science-exploration-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810125" y="135893175"/>
          <a:ext cx="685800" cy="6381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168</xdr:row>
      <xdr:rowOff>76200</xdr:rowOff>
    </xdr:from>
    <xdr:to>
      <xdr:col>3</xdr:col>
      <xdr:colOff>819150</xdr:colOff>
      <xdr:row>168</xdr:row>
      <xdr:rowOff>752475</xdr:rowOff>
    </xdr:to>
    <xdr:pic>
      <xdr:nvPicPr>
        <xdr:cNvPr id="148" name="Picture 147" descr="science-exploration-2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4810125" y="136750425"/>
          <a:ext cx="685800" cy="6762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169</xdr:row>
      <xdr:rowOff>76200</xdr:rowOff>
    </xdr:from>
    <xdr:to>
      <xdr:col>3</xdr:col>
      <xdr:colOff>657225</xdr:colOff>
      <xdr:row>169</xdr:row>
      <xdr:rowOff>762000</xdr:rowOff>
    </xdr:to>
    <xdr:pic>
      <xdr:nvPicPr>
        <xdr:cNvPr id="149" name="Picture 148" descr="science-exploration-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4810125" y="137607675"/>
          <a:ext cx="52387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170</xdr:row>
      <xdr:rowOff>76200</xdr:rowOff>
    </xdr:from>
    <xdr:to>
      <xdr:col>3</xdr:col>
      <xdr:colOff>819150</xdr:colOff>
      <xdr:row>170</xdr:row>
      <xdr:rowOff>762000</xdr:rowOff>
    </xdr:to>
    <xdr:pic>
      <xdr:nvPicPr>
        <xdr:cNvPr id="150" name="Picture 149" descr="science-exploration-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4810125" y="1384649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171</xdr:row>
      <xdr:rowOff>76200</xdr:rowOff>
    </xdr:from>
    <xdr:to>
      <xdr:col>3</xdr:col>
      <xdr:colOff>819150</xdr:colOff>
      <xdr:row>171</xdr:row>
      <xdr:rowOff>590550</xdr:rowOff>
    </xdr:to>
    <xdr:pic>
      <xdr:nvPicPr>
        <xdr:cNvPr id="151" name="Picture 150" descr="science-exploration-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4810125" y="139322175"/>
          <a:ext cx="685800" cy="5143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172</xdr:row>
      <xdr:rowOff>76200</xdr:rowOff>
    </xdr:from>
    <xdr:to>
      <xdr:col>3</xdr:col>
      <xdr:colOff>819150</xdr:colOff>
      <xdr:row>172</xdr:row>
      <xdr:rowOff>590550</xdr:rowOff>
    </xdr:to>
    <xdr:pic>
      <xdr:nvPicPr>
        <xdr:cNvPr id="152" name="Picture 151" descr="science-exploration-6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4810125" y="140179425"/>
          <a:ext cx="685800" cy="5143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173</xdr:row>
      <xdr:rowOff>76200</xdr:rowOff>
    </xdr:from>
    <xdr:to>
      <xdr:col>3</xdr:col>
      <xdr:colOff>819150</xdr:colOff>
      <xdr:row>173</xdr:row>
      <xdr:rowOff>514350</xdr:rowOff>
    </xdr:to>
    <xdr:pic>
      <xdr:nvPicPr>
        <xdr:cNvPr id="153" name="Picture 152" descr="science-exploration-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4810125" y="141036675"/>
          <a:ext cx="685800" cy="4381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175</xdr:row>
      <xdr:rowOff>76200</xdr:rowOff>
    </xdr:from>
    <xdr:to>
      <xdr:col>3</xdr:col>
      <xdr:colOff>819150</xdr:colOff>
      <xdr:row>175</xdr:row>
      <xdr:rowOff>762000</xdr:rowOff>
    </xdr:to>
    <xdr:pic>
      <xdr:nvPicPr>
        <xdr:cNvPr id="154" name="Picture 153" descr="science-exploration-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4810125" y="1427511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176</xdr:row>
      <xdr:rowOff>76200</xdr:rowOff>
    </xdr:from>
    <xdr:to>
      <xdr:col>3</xdr:col>
      <xdr:colOff>781050</xdr:colOff>
      <xdr:row>176</xdr:row>
      <xdr:rowOff>762000</xdr:rowOff>
    </xdr:to>
    <xdr:pic>
      <xdr:nvPicPr>
        <xdr:cNvPr id="155" name="Picture 154" descr="science-exploration-1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4810125" y="143608425"/>
          <a:ext cx="6477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179</xdr:row>
      <xdr:rowOff>76200</xdr:rowOff>
    </xdr:from>
    <xdr:to>
      <xdr:col>3</xdr:col>
      <xdr:colOff>819150</xdr:colOff>
      <xdr:row>179</xdr:row>
      <xdr:rowOff>590550</xdr:rowOff>
    </xdr:to>
    <xdr:pic>
      <xdr:nvPicPr>
        <xdr:cNvPr id="156" name="Picture 155" descr="science-exploration-1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4810125" y="146180175"/>
          <a:ext cx="685800" cy="5143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180</xdr:row>
      <xdr:rowOff>76200</xdr:rowOff>
    </xdr:from>
    <xdr:to>
      <xdr:col>3</xdr:col>
      <xdr:colOff>819150</xdr:colOff>
      <xdr:row>180</xdr:row>
      <xdr:rowOff>762000</xdr:rowOff>
    </xdr:to>
    <xdr:pic>
      <xdr:nvPicPr>
        <xdr:cNvPr id="157" name="Picture 156" descr="science-exploration-14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4810125" y="1470374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181</xdr:row>
      <xdr:rowOff>76200</xdr:rowOff>
    </xdr:from>
    <xdr:to>
      <xdr:col>3</xdr:col>
      <xdr:colOff>809625</xdr:colOff>
      <xdr:row>181</xdr:row>
      <xdr:rowOff>762000</xdr:rowOff>
    </xdr:to>
    <xdr:pic>
      <xdr:nvPicPr>
        <xdr:cNvPr id="158" name="Picture 157" descr="science-exploration-1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4810125" y="147894675"/>
          <a:ext cx="67627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182</xdr:row>
      <xdr:rowOff>76200</xdr:rowOff>
    </xdr:from>
    <xdr:to>
      <xdr:col>3</xdr:col>
      <xdr:colOff>819150</xdr:colOff>
      <xdr:row>182</xdr:row>
      <xdr:rowOff>533400</xdr:rowOff>
    </xdr:to>
    <xdr:pic>
      <xdr:nvPicPr>
        <xdr:cNvPr id="159" name="Picture 158" descr="science-exploration-1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4810125" y="148751925"/>
          <a:ext cx="685800" cy="4572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183</xdr:row>
      <xdr:rowOff>76200</xdr:rowOff>
    </xdr:from>
    <xdr:to>
      <xdr:col>3</xdr:col>
      <xdr:colOff>819150</xdr:colOff>
      <xdr:row>183</xdr:row>
      <xdr:rowOff>762000</xdr:rowOff>
    </xdr:to>
    <xdr:pic>
      <xdr:nvPicPr>
        <xdr:cNvPr id="160" name="Picture 159" descr="science-exploration-1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4810125" y="1496091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184</xdr:row>
      <xdr:rowOff>76200</xdr:rowOff>
    </xdr:from>
    <xdr:to>
      <xdr:col>3</xdr:col>
      <xdr:colOff>819150</xdr:colOff>
      <xdr:row>184</xdr:row>
      <xdr:rowOff>590550</xdr:rowOff>
    </xdr:to>
    <xdr:pic>
      <xdr:nvPicPr>
        <xdr:cNvPr id="161" name="Picture 160" descr="science-exploration-1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4810125" y="150466425"/>
          <a:ext cx="685800" cy="5143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185</xdr:row>
      <xdr:rowOff>76200</xdr:rowOff>
    </xdr:from>
    <xdr:to>
      <xdr:col>3</xdr:col>
      <xdr:colOff>628650</xdr:colOff>
      <xdr:row>185</xdr:row>
      <xdr:rowOff>762000</xdr:rowOff>
    </xdr:to>
    <xdr:pic>
      <xdr:nvPicPr>
        <xdr:cNvPr id="162" name="Picture 161" descr="science-exploration-1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4810125" y="151323675"/>
          <a:ext cx="4953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186</xdr:row>
      <xdr:rowOff>76200</xdr:rowOff>
    </xdr:from>
    <xdr:to>
      <xdr:col>3</xdr:col>
      <xdr:colOff>819150</xdr:colOff>
      <xdr:row>186</xdr:row>
      <xdr:rowOff>762000</xdr:rowOff>
    </xdr:to>
    <xdr:pic>
      <xdr:nvPicPr>
        <xdr:cNvPr id="163" name="Picture 162" descr="science-exploration-2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4810125" y="1521809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187</xdr:row>
      <xdr:rowOff>76200</xdr:rowOff>
    </xdr:from>
    <xdr:to>
      <xdr:col>3</xdr:col>
      <xdr:colOff>819150</xdr:colOff>
      <xdr:row>187</xdr:row>
      <xdr:rowOff>762000</xdr:rowOff>
    </xdr:to>
    <xdr:pic>
      <xdr:nvPicPr>
        <xdr:cNvPr id="164" name="Picture 163" descr="science-exploration-2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4810125" y="1530381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188</xdr:row>
      <xdr:rowOff>76200</xdr:rowOff>
    </xdr:from>
    <xdr:to>
      <xdr:col>3</xdr:col>
      <xdr:colOff>819150</xdr:colOff>
      <xdr:row>188</xdr:row>
      <xdr:rowOff>762000</xdr:rowOff>
    </xdr:to>
    <xdr:pic>
      <xdr:nvPicPr>
        <xdr:cNvPr id="165" name="Picture 164" descr="science-exploration-2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4810125" y="1538954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189</xdr:row>
      <xdr:rowOff>76200</xdr:rowOff>
    </xdr:from>
    <xdr:to>
      <xdr:col>3</xdr:col>
      <xdr:colOff>819150</xdr:colOff>
      <xdr:row>189</xdr:row>
      <xdr:rowOff>762000</xdr:rowOff>
    </xdr:to>
    <xdr:pic>
      <xdr:nvPicPr>
        <xdr:cNvPr id="166" name="Picture 165" descr="science-exploration-23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4810125" y="1547526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190</xdr:row>
      <xdr:rowOff>76200</xdr:rowOff>
    </xdr:from>
    <xdr:to>
      <xdr:col>3</xdr:col>
      <xdr:colOff>819150</xdr:colOff>
      <xdr:row>190</xdr:row>
      <xdr:rowOff>762000</xdr:rowOff>
    </xdr:to>
    <xdr:pic>
      <xdr:nvPicPr>
        <xdr:cNvPr id="167" name="Picture 166" descr="science-exploration-24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4810125" y="1556099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191</xdr:row>
      <xdr:rowOff>76200</xdr:rowOff>
    </xdr:from>
    <xdr:to>
      <xdr:col>3</xdr:col>
      <xdr:colOff>819150</xdr:colOff>
      <xdr:row>191</xdr:row>
      <xdr:rowOff>723900</xdr:rowOff>
    </xdr:to>
    <xdr:pic>
      <xdr:nvPicPr>
        <xdr:cNvPr id="168" name="Picture 167" descr="science-exploration-2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4810125" y="156467175"/>
          <a:ext cx="685800" cy="6477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193</xdr:row>
      <xdr:rowOff>76200</xdr:rowOff>
    </xdr:from>
    <xdr:to>
      <xdr:col>3</xdr:col>
      <xdr:colOff>819150</xdr:colOff>
      <xdr:row>193</xdr:row>
      <xdr:rowOff>762000</xdr:rowOff>
    </xdr:to>
    <xdr:pic>
      <xdr:nvPicPr>
        <xdr:cNvPr id="169" name="Picture 168" descr="science-exploration-27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4810125" y="1581816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194</xdr:row>
      <xdr:rowOff>76200</xdr:rowOff>
    </xdr:from>
    <xdr:to>
      <xdr:col>3</xdr:col>
      <xdr:colOff>819150</xdr:colOff>
      <xdr:row>194</xdr:row>
      <xdr:rowOff>762000</xdr:rowOff>
    </xdr:to>
    <xdr:pic>
      <xdr:nvPicPr>
        <xdr:cNvPr id="170" name="Picture 169" descr="science-exploration-28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4810125" y="1590389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195</xdr:row>
      <xdr:rowOff>76200</xdr:rowOff>
    </xdr:from>
    <xdr:to>
      <xdr:col>3</xdr:col>
      <xdr:colOff>819150</xdr:colOff>
      <xdr:row>195</xdr:row>
      <xdr:rowOff>762000</xdr:rowOff>
    </xdr:to>
    <xdr:pic>
      <xdr:nvPicPr>
        <xdr:cNvPr id="171" name="Picture 170" descr="science-exploration-29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4810125" y="1598961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196</xdr:row>
      <xdr:rowOff>76200</xdr:rowOff>
    </xdr:from>
    <xdr:to>
      <xdr:col>3</xdr:col>
      <xdr:colOff>819150</xdr:colOff>
      <xdr:row>196</xdr:row>
      <xdr:rowOff>762000</xdr:rowOff>
    </xdr:to>
    <xdr:pic>
      <xdr:nvPicPr>
        <xdr:cNvPr id="172" name="Picture 171" descr="science-exploration-30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4810125" y="1607534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197</xdr:row>
      <xdr:rowOff>76200</xdr:rowOff>
    </xdr:from>
    <xdr:to>
      <xdr:col>3</xdr:col>
      <xdr:colOff>819150</xdr:colOff>
      <xdr:row>197</xdr:row>
      <xdr:rowOff>762000</xdr:rowOff>
    </xdr:to>
    <xdr:pic>
      <xdr:nvPicPr>
        <xdr:cNvPr id="173" name="Picture 172" descr="science-exploration-31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4810125" y="1616106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198</xdr:row>
      <xdr:rowOff>76200</xdr:rowOff>
    </xdr:from>
    <xdr:to>
      <xdr:col>3</xdr:col>
      <xdr:colOff>819150</xdr:colOff>
      <xdr:row>198</xdr:row>
      <xdr:rowOff>762000</xdr:rowOff>
    </xdr:to>
    <xdr:pic>
      <xdr:nvPicPr>
        <xdr:cNvPr id="174" name="Picture 173" descr="science-exploration-32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4810125" y="1624679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199</xdr:row>
      <xdr:rowOff>76200</xdr:rowOff>
    </xdr:from>
    <xdr:to>
      <xdr:col>3</xdr:col>
      <xdr:colOff>819150</xdr:colOff>
      <xdr:row>199</xdr:row>
      <xdr:rowOff>561975</xdr:rowOff>
    </xdr:to>
    <xdr:pic>
      <xdr:nvPicPr>
        <xdr:cNvPr id="175" name="Picture 174" descr="science-exploration-33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4810125" y="163325175"/>
          <a:ext cx="685800" cy="4857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200</xdr:row>
      <xdr:rowOff>76200</xdr:rowOff>
    </xdr:from>
    <xdr:to>
      <xdr:col>3</xdr:col>
      <xdr:colOff>819150</xdr:colOff>
      <xdr:row>200</xdr:row>
      <xdr:rowOff>762000</xdr:rowOff>
    </xdr:to>
    <xdr:pic>
      <xdr:nvPicPr>
        <xdr:cNvPr id="176" name="Picture 175" descr="science-exploration-34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4810125" y="1641824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201</xdr:row>
      <xdr:rowOff>76200</xdr:rowOff>
    </xdr:from>
    <xdr:to>
      <xdr:col>3</xdr:col>
      <xdr:colOff>819150</xdr:colOff>
      <xdr:row>201</xdr:row>
      <xdr:rowOff>752475</xdr:rowOff>
    </xdr:to>
    <xdr:pic>
      <xdr:nvPicPr>
        <xdr:cNvPr id="177" name="Picture 176" descr="science-exploration-35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4810125" y="165039675"/>
          <a:ext cx="685800" cy="6762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202</xdr:row>
      <xdr:rowOff>76200</xdr:rowOff>
    </xdr:from>
    <xdr:to>
      <xdr:col>3</xdr:col>
      <xdr:colOff>742950</xdr:colOff>
      <xdr:row>202</xdr:row>
      <xdr:rowOff>762000</xdr:rowOff>
    </xdr:to>
    <xdr:pic>
      <xdr:nvPicPr>
        <xdr:cNvPr id="178" name="Picture 177" descr="science-exploration-36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4810125" y="165896925"/>
          <a:ext cx="6096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203</xdr:row>
      <xdr:rowOff>76200</xdr:rowOff>
    </xdr:from>
    <xdr:to>
      <xdr:col>3</xdr:col>
      <xdr:colOff>819150</xdr:colOff>
      <xdr:row>203</xdr:row>
      <xdr:rowOff>762000</xdr:rowOff>
    </xdr:to>
    <xdr:pic>
      <xdr:nvPicPr>
        <xdr:cNvPr id="179" name="Picture 178" descr="science-exploration-37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4810125" y="1667541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205</xdr:row>
      <xdr:rowOff>76200</xdr:rowOff>
    </xdr:from>
    <xdr:to>
      <xdr:col>3</xdr:col>
      <xdr:colOff>819150</xdr:colOff>
      <xdr:row>205</xdr:row>
      <xdr:rowOff>514350</xdr:rowOff>
    </xdr:to>
    <xdr:pic>
      <xdr:nvPicPr>
        <xdr:cNvPr id="180" name="Picture 179" descr="science-exploration-39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4810125" y="168468675"/>
          <a:ext cx="685800" cy="4381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206</xdr:row>
      <xdr:rowOff>76200</xdr:rowOff>
    </xdr:from>
    <xdr:to>
      <xdr:col>3</xdr:col>
      <xdr:colOff>819150</xdr:colOff>
      <xdr:row>206</xdr:row>
      <xdr:rowOff>762000</xdr:rowOff>
    </xdr:to>
    <xdr:pic>
      <xdr:nvPicPr>
        <xdr:cNvPr id="181" name="Picture 180" descr="science-exploration-40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4810125" y="1693259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208</xdr:row>
      <xdr:rowOff>76200</xdr:rowOff>
    </xdr:from>
    <xdr:to>
      <xdr:col>3</xdr:col>
      <xdr:colOff>819150</xdr:colOff>
      <xdr:row>208</xdr:row>
      <xdr:rowOff>590550</xdr:rowOff>
    </xdr:to>
    <xdr:pic>
      <xdr:nvPicPr>
        <xdr:cNvPr id="182" name="Picture 181" descr="engineering-structures-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810125" y="170487975"/>
          <a:ext cx="685800" cy="5143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209</xdr:row>
      <xdr:rowOff>76200</xdr:rowOff>
    </xdr:from>
    <xdr:to>
      <xdr:col>3</xdr:col>
      <xdr:colOff>790575</xdr:colOff>
      <xdr:row>209</xdr:row>
      <xdr:rowOff>762000</xdr:rowOff>
    </xdr:to>
    <xdr:pic>
      <xdr:nvPicPr>
        <xdr:cNvPr id="183" name="Picture 182" descr="engineering-structures-2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4810125" y="171345225"/>
          <a:ext cx="65722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210</xdr:row>
      <xdr:rowOff>76200</xdr:rowOff>
    </xdr:from>
    <xdr:to>
      <xdr:col>3</xdr:col>
      <xdr:colOff>819150</xdr:colOff>
      <xdr:row>210</xdr:row>
      <xdr:rowOff>762000</xdr:rowOff>
    </xdr:to>
    <xdr:pic>
      <xdr:nvPicPr>
        <xdr:cNvPr id="184" name="Picture 183" descr="engineering-structures-3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4810125" y="1722024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211</xdr:row>
      <xdr:rowOff>76200</xdr:rowOff>
    </xdr:from>
    <xdr:to>
      <xdr:col>3</xdr:col>
      <xdr:colOff>819150</xdr:colOff>
      <xdr:row>211</xdr:row>
      <xdr:rowOff>762000</xdr:rowOff>
    </xdr:to>
    <xdr:pic>
      <xdr:nvPicPr>
        <xdr:cNvPr id="185" name="Picture 184" descr="engineering-structures-4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4810125" y="1730597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214</xdr:row>
      <xdr:rowOff>76200</xdr:rowOff>
    </xdr:from>
    <xdr:to>
      <xdr:col>3</xdr:col>
      <xdr:colOff>819150</xdr:colOff>
      <xdr:row>214</xdr:row>
      <xdr:rowOff>762000</xdr:rowOff>
    </xdr:to>
    <xdr:pic>
      <xdr:nvPicPr>
        <xdr:cNvPr id="186" name="Picture 185" descr="engineering-structures-7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4810125" y="1756314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216</xdr:row>
      <xdr:rowOff>76200</xdr:rowOff>
    </xdr:from>
    <xdr:to>
      <xdr:col>3</xdr:col>
      <xdr:colOff>819150</xdr:colOff>
      <xdr:row>216</xdr:row>
      <xdr:rowOff>704850</xdr:rowOff>
    </xdr:to>
    <xdr:pic>
      <xdr:nvPicPr>
        <xdr:cNvPr id="187" name="Picture 186" descr="engineering-structures-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810125" y="177345975"/>
          <a:ext cx="685800" cy="6286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217</xdr:row>
      <xdr:rowOff>76200</xdr:rowOff>
    </xdr:from>
    <xdr:to>
      <xdr:col>3</xdr:col>
      <xdr:colOff>819150</xdr:colOff>
      <xdr:row>217</xdr:row>
      <xdr:rowOff>762000</xdr:rowOff>
    </xdr:to>
    <xdr:pic>
      <xdr:nvPicPr>
        <xdr:cNvPr id="188" name="Picture 187" descr="engineering-structures-10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4810125" y="1782032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218</xdr:row>
      <xdr:rowOff>76200</xdr:rowOff>
    </xdr:from>
    <xdr:to>
      <xdr:col>3</xdr:col>
      <xdr:colOff>819150</xdr:colOff>
      <xdr:row>218</xdr:row>
      <xdr:rowOff>742950</xdr:rowOff>
    </xdr:to>
    <xdr:pic>
      <xdr:nvPicPr>
        <xdr:cNvPr id="189" name="Picture 188" descr="engineering-structures-11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4810125" y="179060475"/>
          <a:ext cx="685800" cy="6667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219</xdr:row>
      <xdr:rowOff>76200</xdr:rowOff>
    </xdr:from>
    <xdr:to>
      <xdr:col>3</xdr:col>
      <xdr:colOff>676275</xdr:colOff>
      <xdr:row>219</xdr:row>
      <xdr:rowOff>762000</xdr:rowOff>
    </xdr:to>
    <xdr:pic>
      <xdr:nvPicPr>
        <xdr:cNvPr id="190" name="Picture 189" descr="engineering-structures-12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4810125" y="179917725"/>
          <a:ext cx="54292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220</xdr:row>
      <xdr:rowOff>76200</xdr:rowOff>
    </xdr:from>
    <xdr:to>
      <xdr:col>3</xdr:col>
      <xdr:colOff>819150</xdr:colOff>
      <xdr:row>220</xdr:row>
      <xdr:rowOff>762000</xdr:rowOff>
    </xdr:to>
    <xdr:pic>
      <xdr:nvPicPr>
        <xdr:cNvPr id="191" name="Picture 190" descr="engineering-structures-13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4810125" y="1807749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221</xdr:row>
      <xdr:rowOff>76200</xdr:rowOff>
    </xdr:from>
    <xdr:to>
      <xdr:col>3</xdr:col>
      <xdr:colOff>819150</xdr:colOff>
      <xdr:row>221</xdr:row>
      <xdr:rowOff>762000</xdr:rowOff>
    </xdr:to>
    <xdr:pic>
      <xdr:nvPicPr>
        <xdr:cNvPr id="192" name="Picture 191" descr="engineering-structures-14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4810125" y="1816322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222</xdr:row>
      <xdr:rowOff>76200</xdr:rowOff>
    </xdr:from>
    <xdr:to>
      <xdr:col>3</xdr:col>
      <xdr:colOff>819150</xdr:colOff>
      <xdr:row>222</xdr:row>
      <xdr:rowOff>571500</xdr:rowOff>
    </xdr:to>
    <xdr:pic>
      <xdr:nvPicPr>
        <xdr:cNvPr id="193" name="Picture 192" descr="engineering-structures-15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4810125" y="182489475"/>
          <a:ext cx="685800" cy="4953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224</xdr:row>
      <xdr:rowOff>76200</xdr:rowOff>
    </xdr:from>
    <xdr:to>
      <xdr:col>3</xdr:col>
      <xdr:colOff>819150</xdr:colOff>
      <xdr:row>224</xdr:row>
      <xdr:rowOff>590550</xdr:rowOff>
    </xdr:to>
    <xdr:pic>
      <xdr:nvPicPr>
        <xdr:cNvPr id="194" name="Picture 193" descr="engineering-structures-17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4810125" y="184203975"/>
          <a:ext cx="685800" cy="5143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225</xdr:row>
      <xdr:rowOff>76200</xdr:rowOff>
    </xdr:from>
    <xdr:to>
      <xdr:col>3</xdr:col>
      <xdr:colOff>819150</xdr:colOff>
      <xdr:row>225</xdr:row>
      <xdr:rowOff>723900</xdr:rowOff>
    </xdr:to>
    <xdr:pic>
      <xdr:nvPicPr>
        <xdr:cNvPr id="195" name="Picture 194" descr="engineering-structures-18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4810125" y="185061225"/>
          <a:ext cx="685800" cy="6477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226</xdr:row>
      <xdr:rowOff>76200</xdr:rowOff>
    </xdr:from>
    <xdr:to>
      <xdr:col>3</xdr:col>
      <xdr:colOff>819150</xdr:colOff>
      <xdr:row>226</xdr:row>
      <xdr:rowOff>762000</xdr:rowOff>
    </xdr:to>
    <xdr:pic>
      <xdr:nvPicPr>
        <xdr:cNvPr id="196" name="Picture 195" descr="engineering-structures-19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4810125" y="1859184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227</xdr:row>
      <xdr:rowOff>76200</xdr:rowOff>
    </xdr:from>
    <xdr:to>
      <xdr:col>3</xdr:col>
      <xdr:colOff>819150</xdr:colOff>
      <xdr:row>227</xdr:row>
      <xdr:rowOff>676275</xdr:rowOff>
    </xdr:to>
    <xdr:pic>
      <xdr:nvPicPr>
        <xdr:cNvPr id="197" name="Picture 196" descr="engineering-structures-20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4810125" y="186775725"/>
          <a:ext cx="685800" cy="6000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228</xdr:row>
      <xdr:rowOff>76200</xdr:rowOff>
    </xdr:from>
    <xdr:to>
      <xdr:col>3</xdr:col>
      <xdr:colOff>819150</xdr:colOff>
      <xdr:row>228</xdr:row>
      <xdr:rowOff>742950</xdr:rowOff>
    </xdr:to>
    <xdr:pic>
      <xdr:nvPicPr>
        <xdr:cNvPr id="198" name="Picture 197" descr="engineering-structures-21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4810125" y="187632975"/>
          <a:ext cx="685800" cy="6667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229</xdr:row>
      <xdr:rowOff>76200</xdr:rowOff>
    </xdr:from>
    <xdr:to>
      <xdr:col>3</xdr:col>
      <xdr:colOff>819150</xdr:colOff>
      <xdr:row>229</xdr:row>
      <xdr:rowOff>638175</xdr:rowOff>
    </xdr:to>
    <xdr:pic>
      <xdr:nvPicPr>
        <xdr:cNvPr id="199" name="Picture 198" descr="engineering-structures-2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4810125" y="188490225"/>
          <a:ext cx="685800" cy="5619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230</xdr:row>
      <xdr:rowOff>76200</xdr:rowOff>
    </xdr:from>
    <xdr:to>
      <xdr:col>3</xdr:col>
      <xdr:colOff>819150</xdr:colOff>
      <xdr:row>230</xdr:row>
      <xdr:rowOff>762000</xdr:rowOff>
    </xdr:to>
    <xdr:pic>
      <xdr:nvPicPr>
        <xdr:cNvPr id="200" name="Picture 199" descr="engineering-structures-23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4810125" y="1893474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231</xdr:row>
      <xdr:rowOff>76200</xdr:rowOff>
    </xdr:from>
    <xdr:to>
      <xdr:col>3</xdr:col>
      <xdr:colOff>819150</xdr:colOff>
      <xdr:row>231</xdr:row>
      <xdr:rowOff>762000</xdr:rowOff>
    </xdr:to>
    <xdr:pic>
      <xdr:nvPicPr>
        <xdr:cNvPr id="201" name="Picture 200" descr="engineering-structures-24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4810125" y="1902047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232</xdr:row>
      <xdr:rowOff>76200</xdr:rowOff>
    </xdr:from>
    <xdr:to>
      <xdr:col>3</xdr:col>
      <xdr:colOff>819150</xdr:colOff>
      <xdr:row>232</xdr:row>
      <xdr:rowOff>762000</xdr:rowOff>
    </xdr:to>
    <xdr:pic>
      <xdr:nvPicPr>
        <xdr:cNvPr id="202" name="Picture 201" descr="engineering-structures-25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4810125" y="1910619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233</xdr:row>
      <xdr:rowOff>76200</xdr:rowOff>
    </xdr:from>
    <xdr:to>
      <xdr:col>3</xdr:col>
      <xdr:colOff>819150</xdr:colOff>
      <xdr:row>233</xdr:row>
      <xdr:rowOff>762000</xdr:rowOff>
    </xdr:to>
    <xdr:pic>
      <xdr:nvPicPr>
        <xdr:cNvPr id="203" name="Picture 202" descr="engineering-structures-26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4810125" y="1919192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234</xdr:row>
      <xdr:rowOff>76200</xdr:rowOff>
    </xdr:from>
    <xdr:to>
      <xdr:col>3</xdr:col>
      <xdr:colOff>819150</xdr:colOff>
      <xdr:row>234</xdr:row>
      <xdr:rowOff>762000</xdr:rowOff>
    </xdr:to>
    <xdr:pic>
      <xdr:nvPicPr>
        <xdr:cNvPr id="204" name="Picture 203" descr="engineering-structures-27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4810125" y="1927764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235</xdr:row>
      <xdr:rowOff>76200</xdr:rowOff>
    </xdr:from>
    <xdr:to>
      <xdr:col>3</xdr:col>
      <xdr:colOff>819150</xdr:colOff>
      <xdr:row>235</xdr:row>
      <xdr:rowOff>762000</xdr:rowOff>
    </xdr:to>
    <xdr:pic>
      <xdr:nvPicPr>
        <xdr:cNvPr id="205" name="Picture 204" descr="engineering-structures-28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4810125" y="1936337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236</xdr:row>
      <xdr:rowOff>76200</xdr:rowOff>
    </xdr:from>
    <xdr:to>
      <xdr:col>3</xdr:col>
      <xdr:colOff>762000</xdr:colOff>
      <xdr:row>236</xdr:row>
      <xdr:rowOff>762000</xdr:rowOff>
    </xdr:to>
    <xdr:pic>
      <xdr:nvPicPr>
        <xdr:cNvPr id="206" name="Picture 205" descr="engineering-structures-29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4810125" y="194490975"/>
          <a:ext cx="62865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239</xdr:row>
      <xdr:rowOff>76200</xdr:rowOff>
    </xdr:from>
    <xdr:to>
      <xdr:col>3</xdr:col>
      <xdr:colOff>819150</xdr:colOff>
      <xdr:row>239</xdr:row>
      <xdr:rowOff>762000</xdr:rowOff>
    </xdr:to>
    <xdr:pic>
      <xdr:nvPicPr>
        <xdr:cNvPr id="207" name="Picture 206" descr="math-logic-1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4810125" y="1965102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240</xdr:row>
      <xdr:rowOff>76200</xdr:rowOff>
    </xdr:from>
    <xdr:to>
      <xdr:col>3</xdr:col>
      <xdr:colOff>819150</xdr:colOff>
      <xdr:row>240</xdr:row>
      <xdr:rowOff>762000</xdr:rowOff>
    </xdr:to>
    <xdr:pic>
      <xdr:nvPicPr>
        <xdr:cNvPr id="208" name="Picture 207" descr="math-logic-2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4810125" y="1973675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241</xdr:row>
      <xdr:rowOff>76200</xdr:rowOff>
    </xdr:from>
    <xdr:to>
      <xdr:col>3</xdr:col>
      <xdr:colOff>800100</xdr:colOff>
      <xdr:row>241</xdr:row>
      <xdr:rowOff>762000</xdr:rowOff>
    </xdr:to>
    <xdr:pic>
      <xdr:nvPicPr>
        <xdr:cNvPr id="209" name="Picture 208" descr="math-logic-3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4810125" y="198224775"/>
          <a:ext cx="66675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242</xdr:row>
      <xdr:rowOff>76200</xdr:rowOff>
    </xdr:from>
    <xdr:to>
      <xdr:col>3</xdr:col>
      <xdr:colOff>819150</xdr:colOff>
      <xdr:row>242</xdr:row>
      <xdr:rowOff>762000</xdr:rowOff>
    </xdr:to>
    <xdr:pic>
      <xdr:nvPicPr>
        <xdr:cNvPr id="210" name="Picture 209" descr="math-logic-4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4810125" y="1990820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243</xdr:row>
      <xdr:rowOff>76200</xdr:rowOff>
    </xdr:from>
    <xdr:to>
      <xdr:col>3</xdr:col>
      <xdr:colOff>819150</xdr:colOff>
      <xdr:row>243</xdr:row>
      <xdr:rowOff>762000</xdr:rowOff>
    </xdr:to>
    <xdr:pic>
      <xdr:nvPicPr>
        <xdr:cNvPr id="211" name="Picture 210" descr="math-logic-5.jp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4810125" y="1999392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244</xdr:row>
      <xdr:rowOff>76200</xdr:rowOff>
    </xdr:from>
    <xdr:to>
      <xdr:col>3</xdr:col>
      <xdr:colOff>790575</xdr:colOff>
      <xdr:row>244</xdr:row>
      <xdr:rowOff>762000</xdr:rowOff>
    </xdr:to>
    <xdr:pic>
      <xdr:nvPicPr>
        <xdr:cNvPr id="212" name="Picture 211" descr="math-logic-6.jp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4810125" y="200796525"/>
          <a:ext cx="65722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245</xdr:row>
      <xdr:rowOff>76200</xdr:rowOff>
    </xdr:from>
    <xdr:to>
      <xdr:col>3</xdr:col>
      <xdr:colOff>819150</xdr:colOff>
      <xdr:row>245</xdr:row>
      <xdr:rowOff>762000</xdr:rowOff>
    </xdr:to>
    <xdr:pic>
      <xdr:nvPicPr>
        <xdr:cNvPr id="213" name="Picture 212" descr="math-logic-7.jp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4810125" y="2016537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246</xdr:row>
      <xdr:rowOff>76200</xdr:rowOff>
    </xdr:from>
    <xdr:to>
      <xdr:col>3</xdr:col>
      <xdr:colOff>819150</xdr:colOff>
      <xdr:row>246</xdr:row>
      <xdr:rowOff>762000</xdr:rowOff>
    </xdr:to>
    <xdr:pic>
      <xdr:nvPicPr>
        <xdr:cNvPr id="214" name="Picture 213" descr="math-logic-8.jp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4810125" y="2025110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247</xdr:row>
      <xdr:rowOff>76200</xdr:rowOff>
    </xdr:from>
    <xdr:to>
      <xdr:col>3</xdr:col>
      <xdr:colOff>819150</xdr:colOff>
      <xdr:row>247</xdr:row>
      <xdr:rowOff>561975</xdr:rowOff>
    </xdr:to>
    <xdr:pic>
      <xdr:nvPicPr>
        <xdr:cNvPr id="215" name="Picture 214" descr="math-logic-9.jp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4810125" y="203368275"/>
          <a:ext cx="685800" cy="4857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248</xdr:row>
      <xdr:rowOff>76200</xdr:rowOff>
    </xdr:from>
    <xdr:to>
      <xdr:col>3</xdr:col>
      <xdr:colOff>819150</xdr:colOff>
      <xdr:row>248</xdr:row>
      <xdr:rowOff>657225</xdr:rowOff>
    </xdr:to>
    <xdr:pic>
      <xdr:nvPicPr>
        <xdr:cNvPr id="216" name="Picture 215" descr="math-logic-10.jp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4810125" y="204225525"/>
          <a:ext cx="685800" cy="58102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249</xdr:row>
      <xdr:rowOff>76200</xdr:rowOff>
    </xdr:from>
    <xdr:to>
      <xdr:col>3</xdr:col>
      <xdr:colOff>742950</xdr:colOff>
      <xdr:row>249</xdr:row>
      <xdr:rowOff>762000</xdr:rowOff>
    </xdr:to>
    <xdr:pic>
      <xdr:nvPicPr>
        <xdr:cNvPr id="217" name="Picture 216" descr="math-logic-11.jp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4810125" y="205082775"/>
          <a:ext cx="6096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250</xdr:row>
      <xdr:rowOff>76200</xdr:rowOff>
    </xdr:from>
    <xdr:to>
      <xdr:col>3</xdr:col>
      <xdr:colOff>819150</xdr:colOff>
      <xdr:row>250</xdr:row>
      <xdr:rowOff>657225</xdr:rowOff>
    </xdr:to>
    <xdr:pic>
      <xdr:nvPicPr>
        <xdr:cNvPr id="218" name="Picture 217" descr="math-logic-12.jp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4810125" y="205940025"/>
          <a:ext cx="685800" cy="58102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251</xdr:row>
      <xdr:rowOff>76200</xdr:rowOff>
    </xdr:from>
    <xdr:to>
      <xdr:col>3</xdr:col>
      <xdr:colOff>819150</xdr:colOff>
      <xdr:row>251</xdr:row>
      <xdr:rowOff>762000</xdr:rowOff>
    </xdr:to>
    <xdr:pic>
      <xdr:nvPicPr>
        <xdr:cNvPr id="219" name="Picture 218" descr="math-logic-13.jp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4810125" y="2067972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252</xdr:row>
      <xdr:rowOff>76200</xdr:rowOff>
    </xdr:from>
    <xdr:to>
      <xdr:col>3</xdr:col>
      <xdr:colOff>819150</xdr:colOff>
      <xdr:row>252</xdr:row>
      <xdr:rowOff>762000</xdr:rowOff>
    </xdr:to>
    <xdr:pic>
      <xdr:nvPicPr>
        <xdr:cNvPr id="220" name="Picture 219" descr="math-logic-14.jp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4810125" y="2076545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254</xdr:row>
      <xdr:rowOff>76200</xdr:rowOff>
    </xdr:from>
    <xdr:to>
      <xdr:col>3</xdr:col>
      <xdr:colOff>819150</xdr:colOff>
      <xdr:row>254</xdr:row>
      <xdr:rowOff>561975</xdr:rowOff>
    </xdr:to>
    <xdr:pic>
      <xdr:nvPicPr>
        <xdr:cNvPr id="221" name="Picture 220" descr="math-logic-1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4810125" y="209369025"/>
          <a:ext cx="685800" cy="4857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255</xdr:row>
      <xdr:rowOff>76200</xdr:rowOff>
    </xdr:from>
    <xdr:to>
      <xdr:col>3</xdr:col>
      <xdr:colOff>819150</xdr:colOff>
      <xdr:row>255</xdr:row>
      <xdr:rowOff>762000</xdr:rowOff>
    </xdr:to>
    <xdr:pic>
      <xdr:nvPicPr>
        <xdr:cNvPr id="222" name="Picture 221" descr="math-logic-17.jp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4810125" y="2102262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256</xdr:row>
      <xdr:rowOff>76200</xdr:rowOff>
    </xdr:from>
    <xdr:to>
      <xdr:col>3</xdr:col>
      <xdr:colOff>819150</xdr:colOff>
      <xdr:row>256</xdr:row>
      <xdr:rowOff>762000</xdr:rowOff>
    </xdr:to>
    <xdr:pic>
      <xdr:nvPicPr>
        <xdr:cNvPr id="223" name="Picture 222" descr="math-logic-18.jp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4810125" y="2110835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257</xdr:row>
      <xdr:rowOff>76200</xdr:rowOff>
    </xdr:from>
    <xdr:to>
      <xdr:col>3</xdr:col>
      <xdr:colOff>819150</xdr:colOff>
      <xdr:row>257</xdr:row>
      <xdr:rowOff>762000</xdr:rowOff>
    </xdr:to>
    <xdr:pic>
      <xdr:nvPicPr>
        <xdr:cNvPr id="224" name="Picture 223" descr="math-logic-19.jp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4810125" y="2119407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259</xdr:row>
      <xdr:rowOff>76200</xdr:rowOff>
    </xdr:from>
    <xdr:to>
      <xdr:col>3</xdr:col>
      <xdr:colOff>819150</xdr:colOff>
      <xdr:row>259</xdr:row>
      <xdr:rowOff>676275</xdr:rowOff>
    </xdr:to>
    <xdr:pic>
      <xdr:nvPicPr>
        <xdr:cNvPr id="225" name="Picture 224" descr="recycled-materials-1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4810125" y="213102825"/>
          <a:ext cx="685800" cy="6000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260</xdr:row>
      <xdr:rowOff>76200</xdr:rowOff>
    </xdr:from>
    <xdr:to>
      <xdr:col>3</xdr:col>
      <xdr:colOff>819150</xdr:colOff>
      <xdr:row>260</xdr:row>
      <xdr:rowOff>561975</xdr:rowOff>
    </xdr:to>
    <xdr:pic>
      <xdr:nvPicPr>
        <xdr:cNvPr id="226" name="Picture 225" descr="recycled-materials-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4810125" y="213960075"/>
          <a:ext cx="685800" cy="4857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261</xdr:row>
      <xdr:rowOff>76200</xdr:rowOff>
    </xdr:from>
    <xdr:to>
      <xdr:col>3</xdr:col>
      <xdr:colOff>819150</xdr:colOff>
      <xdr:row>261</xdr:row>
      <xdr:rowOff>762000</xdr:rowOff>
    </xdr:to>
    <xdr:pic>
      <xdr:nvPicPr>
        <xdr:cNvPr id="227" name="Picture 226" descr="recycled-materials-3.jp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4810125" y="2148173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262</xdr:row>
      <xdr:rowOff>76200</xdr:rowOff>
    </xdr:from>
    <xdr:to>
      <xdr:col>3</xdr:col>
      <xdr:colOff>647700</xdr:colOff>
      <xdr:row>262</xdr:row>
      <xdr:rowOff>762000</xdr:rowOff>
    </xdr:to>
    <xdr:pic>
      <xdr:nvPicPr>
        <xdr:cNvPr id="228" name="Picture 227" descr="recycled-materials-4.jp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4810125" y="215674575"/>
          <a:ext cx="51435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263</xdr:row>
      <xdr:rowOff>76200</xdr:rowOff>
    </xdr:from>
    <xdr:to>
      <xdr:col>3</xdr:col>
      <xdr:colOff>819150</xdr:colOff>
      <xdr:row>263</xdr:row>
      <xdr:rowOff>561975</xdr:rowOff>
    </xdr:to>
    <xdr:pic>
      <xdr:nvPicPr>
        <xdr:cNvPr id="229" name="Picture 228" descr="recycled-materials-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4810125" y="216531825"/>
          <a:ext cx="685800" cy="4857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265</xdr:row>
      <xdr:rowOff>76200</xdr:rowOff>
    </xdr:from>
    <xdr:to>
      <xdr:col>3</xdr:col>
      <xdr:colOff>819150</xdr:colOff>
      <xdr:row>265</xdr:row>
      <xdr:rowOff>762000</xdr:rowOff>
    </xdr:to>
    <xdr:pic>
      <xdr:nvPicPr>
        <xdr:cNvPr id="230" name="Picture 229" descr="recycled-materials-7.jp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4810125" y="2182463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267</xdr:row>
      <xdr:rowOff>76200</xdr:rowOff>
    </xdr:from>
    <xdr:to>
      <xdr:col>3</xdr:col>
      <xdr:colOff>819150</xdr:colOff>
      <xdr:row>267</xdr:row>
      <xdr:rowOff>762000</xdr:rowOff>
    </xdr:to>
    <xdr:pic>
      <xdr:nvPicPr>
        <xdr:cNvPr id="231" name="Picture 230" descr="recycled-materials-9.jp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4810125" y="2199608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268</xdr:row>
      <xdr:rowOff>76200</xdr:rowOff>
    </xdr:from>
    <xdr:to>
      <xdr:col>3</xdr:col>
      <xdr:colOff>819150</xdr:colOff>
      <xdr:row>268</xdr:row>
      <xdr:rowOff>762000</xdr:rowOff>
    </xdr:to>
    <xdr:pic>
      <xdr:nvPicPr>
        <xdr:cNvPr id="232" name="Picture 231" descr="recycled-materials-1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4810125" y="2208180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270</xdr:row>
      <xdr:rowOff>76200</xdr:rowOff>
    </xdr:from>
    <xdr:to>
      <xdr:col>3</xdr:col>
      <xdr:colOff>819150</xdr:colOff>
      <xdr:row>270</xdr:row>
      <xdr:rowOff>590550</xdr:rowOff>
    </xdr:to>
    <xdr:pic>
      <xdr:nvPicPr>
        <xdr:cNvPr id="233" name="Picture 232" descr="recycled-materials-12.jp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4810125" y="222532575"/>
          <a:ext cx="685800" cy="5143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271</xdr:row>
      <xdr:rowOff>76200</xdr:rowOff>
    </xdr:from>
    <xdr:to>
      <xdr:col>3</xdr:col>
      <xdr:colOff>819150</xdr:colOff>
      <xdr:row>271</xdr:row>
      <xdr:rowOff>742950</xdr:rowOff>
    </xdr:to>
    <xdr:pic>
      <xdr:nvPicPr>
        <xdr:cNvPr id="234" name="Picture 233" descr="recycled-materials-13.jp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4810125" y="223389825"/>
          <a:ext cx="685800" cy="6667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272</xdr:row>
      <xdr:rowOff>76200</xdr:rowOff>
    </xdr:from>
    <xdr:to>
      <xdr:col>3</xdr:col>
      <xdr:colOff>819150</xdr:colOff>
      <xdr:row>272</xdr:row>
      <xdr:rowOff>762000</xdr:rowOff>
    </xdr:to>
    <xdr:pic>
      <xdr:nvPicPr>
        <xdr:cNvPr id="235" name="Picture 234" descr="recycled-materials-14.jp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4810125" y="2242470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274</xdr:row>
      <xdr:rowOff>76200</xdr:rowOff>
    </xdr:from>
    <xdr:to>
      <xdr:col>3</xdr:col>
      <xdr:colOff>647700</xdr:colOff>
      <xdr:row>274</xdr:row>
      <xdr:rowOff>762000</xdr:rowOff>
    </xdr:to>
    <xdr:pic>
      <xdr:nvPicPr>
        <xdr:cNvPr id="236" name="Picture 235" descr="recycled-materials-16.jp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4810125" y="225961575"/>
          <a:ext cx="51435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275</xdr:row>
      <xdr:rowOff>76200</xdr:rowOff>
    </xdr:from>
    <xdr:to>
      <xdr:col>3</xdr:col>
      <xdr:colOff>819150</xdr:colOff>
      <xdr:row>275</xdr:row>
      <xdr:rowOff>609600</xdr:rowOff>
    </xdr:to>
    <xdr:pic>
      <xdr:nvPicPr>
        <xdr:cNvPr id="237" name="Picture 236" descr="recycled-materials-17.jp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4810125" y="226818825"/>
          <a:ext cx="685800" cy="5334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276</xdr:row>
      <xdr:rowOff>76200</xdr:rowOff>
    </xdr:from>
    <xdr:to>
      <xdr:col>3</xdr:col>
      <xdr:colOff>819150</xdr:colOff>
      <xdr:row>276</xdr:row>
      <xdr:rowOff>762000</xdr:rowOff>
    </xdr:to>
    <xdr:pic>
      <xdr:nvPicPr>
        <xdr:cNvPr id="238" name="Picture 237" descr="recycled-materials-18.jp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4810125" y="2276760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277</xdr:row>
      <xdr:rowOff>76200</xdr:rowOff>
    </xdr:from>
    <xdr:to>
      <xdr:col>3</xdr:col>
      <xdr:colOff>819150</xdr:colOff>
      <xdr:row>277</xdr:row>
      <xdr:rowOff>695325</xdr:rowOff>
    </xdr:to>
    <xdr:pic>
      <xdr:nvPicPr>
        <xdr:cNvPr id="239" name="Picture 238" descr="recycled-materials-19.jp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4810125" y="228533325"/>
          <a:ext cx="685800" cy="61912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278</xdr:row>
      <xdr:rowOff>76200</xdr:rowOff>
    </xdr:from>
    <xdr:to>
      <xdr:col>3</xdr:col>
      <xdr:colOff>819150</xdr:colOff>
      <xdr:row>278</xdr:row>
      <xdr:rowOff>762000</xdr:rowOff>
    </xdr:to>
    <xdr:pic>
      <xdr:nvPicPr>
        <xdr:cNvPr id="240" name="Picture 239" descr="recycled-materials-20.jp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4810125" y="2293905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280</xdr:row>
      <xdr:rowOff>76200</xdr:rowOff>
    </xdr:from>
    <xdr:to>
      <xdr:col>3</xdr:col>
      <xdr:colOff>819150</xdr:colOff>
      <xdr:row>280</xdr:row>
      <xdr:rowOff>762000</xdr:rowOff>
    </xdr:to>
    <xdr:pic>
      <xdr:nvPicPr>
        <xdr:cNvPr id="241" name="Picture 240" descr="storage-management-1.jp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4810125" y="2305526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281</xdr:row>
      <xdr:rowOff>76200</xdr:rowOff>
    </xdr:from>
    <xdr:to>
      <xdr:col>3</xdr:col>
      <xdr:colOff>819150</xdr:colOff>
      <xdr:row>281</xdr:row>
      <xdr:rowOff>762000</xdr:rowOff>
    </xdr:to>
    <xdr:pic>
      <xdr:nvPicPr>
        <xdr:cNvPr id="242" name="Picture 241" descr="storage-management-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4810125" y="2314098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282</xdr:row>
      <xdr:rowOff>76200</xdr:rowOff>
    </xdr:from>
    <xdr:to>
      <xdr:col>3</xdr:col>
      <xdr:colOff>819150</xdr:colOff>
      <xdr:row>282</xdr:row>
      <xdr:rowOff>762000</xdr:rowOff>
    </xdr:to>
    <xdr:pic>
      <xdr:nvPicPr>
        <xdr:cNvPr id="243" name="Picture 242" descr="storage-management-3.jp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4810125" y="2322671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283</xdr:row>
      <xdr:rowOff>76200</xdr:rowOff>
    </xdr:from>
    <xdr:to>
      <xdr:col>3</xdr:col>
      <xdr:colOff>819150</xdr:colOff>
      <xdr:row>283</xdr:row>
      <xdr:rowOff>762000</xdr:rowOff>
    </xdr:to>
    <xdr:pic>
      <xdr:nvPicPr>
        <xdr:cNvPr id="244" name="Picture 243" descr="storage-management-4.jp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4810125" y="2331243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284</xdr:row>
      <xdr:rowOff>76200</xdr:rowOff>
    </xdr:from>
    <xdr:to>
      <xdr:col>3</xdr:col>
      <xdr:colOff>819150</xdr:colOff>
      <xdr:row>284</xdr:row>
      <xdr:rowOff>762000</xdr:rowOff>
    </xdr:to>
    <xdr:pic>
      <xdr:nvPicPr>
        <xdr:cNvPr id="245" name="Picture 244" descr="storage-management-5.jp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4810125" y="2339816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285</xdr:row>
      <xdr:rowOff>76200</xdr:rowOff>
    </xdr:from>
    <xdr:to>
      <xdr:col>3</xdr:col>
      <xdr:colOff>819150</xdr:colOff>
      <xdr:row>285</xdr:row>
      <xdr:rowOff>762000</xdr:rowOff>
    </xdr:to>
    <xdr:pic>
      <xdr:nvPicPr>
        <xdr:cNvPr id="246" name="Picture 245" descr="storage-management-6.jp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4810125" y="2348388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286</xdr:row>
      <xdr:rowOff>76200</xdr:rowOff>
    </xdr:from>
    <xdr:to>
      <xdr:col>3</xdr:col>
      <xdr:colOff>819150</xdr:colOff>
      <xdr:row>286</xdr:row>
      <xdr:rowOff>762000</xdr:rowOff>
    </xdr:to>
    <xdr:pic>
      <xdr:nvPicPr>
        <xdr:cNvPr id="247" name="Picture 246" descr="storage-management-7.jp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4810125" y="2356961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287</xdr:row>
      <xdr:rowOff>76200</xdr:rowOff>
    </xdr:from>
    <xdr:to>
      <xdr:col>3</xdr:col>
      <xdr:colOff>819150</xdr:colOff>
      <xdr:row>287</xdr:row>
      <xdr:rowOff>533400</xdr:rowOff>
    </xdr:to>
    <xdr:pic>
      <xdr:nvPicPr>
        <xdr:cNvPr id="248" name="Picture 247" descr="storage-management-8.jp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4810125" y="236553375"/>
          <a:ext cx="685800" cy="4572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288</xdr:row>
      <xdr:rowOff>76200</xdr:rowOff>
    </xdr:from>
    <xdr:to>
      <xdr:col>3</xdr:col>
      <xdr:colOff>819150</xdr:colOff>
      <xdr:row>288</xdr:row>
      <xdr:rowOff>762000</xdr:rowOff>
    </xdr:to>
    <xdr:pic>
      <xdr:nvPicPr>
        <xdr:cNvPr id="249" name="Picture 248" descr="storage-management-9.jp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4810125" y="2374106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289</xdr:row>
      <xdr:rowOff>76200</xdr:rowOff>
    </xdr:from>
    <xdr:to>
      <xdr:col>3</xdr:col>
      <xdr:colOff>819150</xdr:colOff>
      <xdr:row>289</xdr:row>
      <xdr:rowOff>762000</xdr:rowOff>
    </xdr:to>
    <xdr:pic>
      <xdr:nvPicPr>
        <xdr:cNvPr id="250" name="Picture 249" descr="storage-management-10.jp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4810125" y="2382678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291</xdr:row>
      <xdr:rowOff>76200</xdr:rowOff>
    </xdr:from>
    <xdr:to>
      <xdr:col>3</xdr:col>
      <xdr:colOff>819150</xdr:colOff>
      <xdr:row>291</xdr:row>
      <xdr:rowOff>762000</xdr:rowOff>
    </xdr:to>
    <xdr:pic>
      <xdr:nvPicPr>
        <xdr:cNvPr id="251" name="Picture 250" descr="storage-management-12.jp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4810125" y="2399823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293</xdr:row>
      <xdr:rowOff>76200</xdr:rowOff>
    </xdr:from>
    <xdr:to>
      <xdr:col>3</xdr:col>
      <xdr:colOff>819150</xdr:colOff>
      <xdr:row>293</xdr:row>
      <xdr:rowOff>762000</xdr:rowOff>
    </xdr:to>
    <xdr:pic>
      <xdr:nvPicPr>
        <xdr:cNvPr id="252" name="Picture 251" descr="storage-management-14.jp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4810125" y="2416968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294</xdr:row>
      <xdr:rowOff>76200</xdr:rowOff>
    </xdr:from>
    <xdr:to>
      <xdr:col>3</xdr:col>
      <xdr:colOff>819150</xdr:colOff>
      <xdr:row>294</xdr:row>
      <xdr:rowOff>590550</xdr:rowOff>
    </xdr:to>
    <xdr:pic>
      <xdr:nvPicPr>
        <xdr:cNvPr id="253" name="Picture 252" descr="storage-management-15.jp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4810125" y="242554125"/>
          <a:ext cx="685800" cy="5143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296</xdr:row>
      <xdr:rowOff>76200</xdr:rowOff>
    </xdr:from>
    <xdr:to>
      <xdr:col>3</xdr:col>
      <xdr:colOff>733425</xdr:colOff>
      <xdr:row>296</xdr:row>
      <xdr:rowOff>762000</xdr:rowOff>
    </xdr:to>
    <xdr:pic>
      <xdr:nvPicPr>
        <xdr:cNvPr id="254" name="Picture 253" descr="storage-management-17.jp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4810125" y="244268625"/>
          <a:ext cx="60007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297</xdr:row>
      <xdr:rowOff>76200</xdr:rowOff>
    </xdr:from>
    <xdr:to>
      <xdr:col>3</xdr:col>
      <xdr:colOff>819150</xdr:colOff>
      <xdr:row>297</xdr:row>
      <xdr:rowOff>762000</xdr:rowOff>
    </xdr:to>
    <xdr:pic>
      <xdr:nvPicPr>
        <xdr:cNvPr id="255" name="Picture 254" descr="storage-management-18.jp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4810125" y="2451258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299</xdr:row>
      <xdr:rowOff>76200</xdr:rowOff>
    </xdr:from>
    <xdr:to>
      <xdr:col>3</xdr:col>
      <xdr:colOff>819150</xdr:colOff>
      <xdr:row>299</xdr:row>
      <xdr:rowOff>561975</xdr:rowOff>
    </xdr:to>
    <xdr:pic>
      <xdr:nvPicPr>
        <xdr:cNvPr id="256" name="Picture 255" descr="safety-firstaid-1.jp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4810125" y="246287925"/>
          <a:ext cx="685800" cy="4857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300</xdr:row>
      <xdr:rowOff>76200</xdr:rowOff>
    </xdr:from>
    <xdr:to>
      <xdr:col>3</xdr:col>
      <xdr:colOff>819150</xdr:colOff>
      <xdr:row>300</xdr:row>
      <xdr:rowOff>714375</xdr:rowOff>
    </xdr:to>
    <xdr:pic>
      <xdr:nvPicPr>
        <xdr:cNvPr id="257" name="Picture 256" descr="safety-firstaid-2.jp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4810125" y="247145175"/>
          <a:ext cx="685800" cy="6381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301</xdr:row>
      <xdr:rowOff>76200</xdr:rowOff>
    </xdr:from>
    <xdr:to>
      <xdr:col>3</xdr:col>
      <xdr:colOff>819150</xdr:colOff>
      <xdr:row>301</xdr:row>
      <xdr:rowOff>762000</xdr:rowOff>
    </xdr:to>
    <xdr:pic>
      <xdr:nvPicPr>
        <xdr:cNvPr id="258" name="Picture 257" descr="safety-firstaid-3.jp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4810125" y="2480024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302</xdr:row>
      <xdr:rowOff>76200</xdr:rowOff>
    </xdr:from>
    <xdr:to>
      <xdr:col>3</xdr:col>
      <xdr:colOff>819150</xdr:colOff>
      <xdr:row>302</xdr:row>
      <xdr:rowOff>762000</xdr:rowOff>
    </xdr:to>
    <xdr:pic>
      <xdr:nvPicPr>
        <xdr:cNvPr id="259" name="Picture 258" descr="safety-firstaid-4.jp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4810125" y="2488596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303</xdr:row>
      <xdr:rowOff>76200</xdr:rowOff>
    </xdr:from>
    <xdr:to>
      <xdr:col>3</xdr:col>
      <xdr:colOff>819150</xdr:colOff>
      <xdr:row>303</xdr:row>
      <xdr:rowOff>762000</xdr:rowOff>
    </xdr:to>
    <xdr:pic>
      <xdr:nvPicPr>
        <xdr:cNvPr id="260" name="Picture 259" descr="safety-firstaid-5.jp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4810125" y="2497169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304</xdr:row>
      <xdr:rowOff>76200</xdr:rowOff>
    </xdr:from>
    <xdr:to>
      <xdr:col>3</xdr:col>
      <xdr:colOff>819150</xdr:colOff>
      <xdr:row>304</xdr:row>
      <xdr:rowOff>762000</xdr:rowOff>
    </xdr:to>
    <xdr:pic>
      <xdr:nvPicPr>
        <xdr:cNvPr id="261" name="Picture 260" descr="safety-firstaid-6.jp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4810125" y="2505741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305</xdr:row>
      <xdr:rowOff>76200</xdr:rowOff>
    </xdr:from>
    <xdr:to>
      <xdr:col>3</xdr:col>
      <xdr:colOff>819150</xdr:colOff>
      <xdr:row>305</xdr:row>
      <xdr:rowOff>561975</xdr:rowOff>
    </xdr:to>
    <xdr:pic>
      <xdr:nvPicPr>
        <xdr:cNvPr id="262" name="Picture 261" descr="safety-firstaid-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4810125" y="251431425"/>
          <a:ext cx="685800" cy="4857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306</xdr:row>
      <xdr:rowOff>76200</xdr:rowOff>
    </xdr:from>
    <xdr:to>
      <xdr:col>3</xdr:col>
      <xdr:colOff>819150</xdr:colOff>
      <xdr:row>306</xdr:row>
      <xdr:rowOff>762000</xdr:rowOff>
    </xdr:to>
    <xdr:pic>
      <xdr:nvPicPr>
        <xdr:cNvPr id="263" name="Picture 262" descr="safety-firstaid-8.jp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4810125" y="2522886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307</xdr:row>
      <xdr:rowOff>76200</xdr:rowOff>
    </xdr:from>
    <xdr:to>
      <xdr:col>3</xdr:col>
      <xdr:colOff>819150</xdr:colOff>
      <xdr:row>307</xdr:row>
      <xdr:rowOff>762000</xdr:rowOff>
    </xdr:to>
    <xdr:pic>
      <xdr:nvPicPr>
        <xdr:cNvPr id="264" name="Picture 263" descr="safety-firstaid-9.jp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4810125" y="2531459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308</xdr:row>
      <xdr:rowOff>76200</xdr:rowOff>
    </xdr:from>
    <xdr:to>
      <xdr:col>3</xdr:col>
      <xdr:colOff>819150</xdr:colOff>
      <xdr:row>308</xdr:row>
      <xdr:rowOff>762000</xdr:rowOff>
    </xdr:to>
    <xdr:pic>
      <xdr:nvPicPr>
        <xdr:cNvPr id="265" name="Picture 264" descr="safety-firstaid-10.jp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4810125" y="2540031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309</xdr:row>
      <xdr:rowOff>76200</xdr:rowOff>
    </xdr:from>
    <xdr:to>
      <xdr:col>3</xdr:col>
      <xdr:colOff>819150</xdr:colOff>
      <xdr:row>309</xdr:row>
      <xdr:rowOff>762000</xdr:rowOff>
    </xdr:to>
    <xdr:pic>
      <xdr:nvPicPr>
        <xdr:cNvPr id="266" name="Picture 265" descr="safety-firstaid-11.jp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4810125" y="2548604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310</xdr:row>
      <xdr:rowOff>76200</xdr:rowOff>
    </xdr:from>
    <xdr:to>
      <xdr:col>3</xdr:col>
      <xdr:colOff>819150</xdr:colOff>
      <xdr:row>310</xdr:row>
      <xdr:rowOff>762000</xdr:rowOff>
    </xdr:to>
    <xdr:pic>
      <xdr:nvPicPr>
        <xdr:cNvPr id="267" name="Picture 266" descr="safety-firstaid-12.jp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4810125" y="2557176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311</xdr:row>
      <xdr:rowOff>76200</xdr:rowOff>
    </xdr:from>
    <xdr:to>
      <xdr:col>3</xdr:col>
      <xdr:colOff>819150</xdr:colOff>
      <xdr:row>311</xdr:row>
      <xdr:rowOff>762000</xdr:rowOff>
    </xdr:to>
    <xdr:pic>
      <xdr:nvPicPr>
        <xdr:cNvPr id="268" name="Picture 267" descr="safety-firstaid-13.jp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4810125" y="2565749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312</xdr:row>
      <xdr:rowOff>76200</xdr:rowOff>
    </xdr:from>
    <xdr:to>
      <xdr:col>3</xdr:col>
      <xdr:colOff>819150</xdr:colOff>
      <xdr:row>312</xdr:row>
      <xdr:rowOff>762000</xdr:rowOff>
    </xdr:to>
    <xdr:pic>
      <xdr:nvPicPr>
        <xdr:cNvPr id="269" name="Picture 268" descr="safety-firstaid-14.jp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4810125" y="2574321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313</xdr:row>
      <xdr:rowOff>76200</xdr:rowOff>
    </xdr:from>
    <xdr:to>
      <xdr:col>3</xdr:col>
      <xdr:colOff>819150</xdr:colOff>
      <xdr:row>313</xdr:row>
      <xdr:rowOff>762000</xdr:rowOff>
    </xdr:to>
    <xdr:pic>
      <xdr:nvPicPr>
        <xdr:cNvPr id="270" name="Picture 269" descr="safety-firstaid-1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810125" y="2582894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314</xdr:row>
      <xdr:rowOff>76200</xdr:rowOff>
    </xdr:from>
    <xdr:to>
      <xdr:col>3</xdr:col>
      <xdr:colOff>819150</xdr:colOff>
      <xdr:row>314</xdr:row>
      <xdr:rowOff>466725</xdr:rowOff>
    </xdr:to>
    <xdr:pic>
      <xdr:nvPicPr>
        <xdr:cNvPr id="271" name="Picture 270" descr="safety-firstaid-1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810125" y="259146675"/>
          <a:ext cx="685800" cy="39052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316</xdr:row>
      <xdr:rowOff>76200</xdr:rowOff>
    </xdr:from>
    <xdr:to>
      <xdr:col>3</xdr:col>
      <xdr:colOff>819150</xdr:colOff>
      <xdr:row>316</xdr:row>
      <xdr:rowOff>762000</xdr:rowOff>
    </xdr:to>
    <xdr:pic>
      <xdr:nvPicPr>
        <xdr:cNvPr id="272" name="Picture 271" descr="safety-firstaid-18.jp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4810125" y="2608611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323</xdr:row>
      <xdr:rowOff>76200</xdr:rowOff>
    </xdr:from>
    <xdr:to>
      <xdr:col>3</xdr:col>
      <xdr:colOff>819150</xdr:colOff>
      <xdr:row>323</xdr:row>
      <xdr:rowOff>533400</xdr:rowOff>
    </xdr:to>
    <xdr:pic>
      <xdr:nvPicPr>
        <xdr:cNvPr id="273" name="Picture 272" descr="branding-displays-6.jp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4810125" y="266309475"/>
          <a:ext cx="685800" cy="4572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324</xdr:row>
      <xdr:rowOff>76200</xdr:rowOff>
    </xdr:from>
    <xdr:to>
      <xdr:col>3</xdr:col>
      <xdr:colOff>819150</xdr:colOff>
      <xdr:row>324</xdr:row>
      <xdr:rowOff>762000</xdr:rowOff>
    </xdr:to>
    <xdr:pic>
      <xdr:nvPicPr>
        <xdr:cNvPr id="274" name="Picture 273" descr="branding-displays-7.jp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4810125" y="2671667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325</xdr:row>
      <xdr:rowOff>76200</xdr:rowOff>
    </xdr:from>
    <xdr:to>
      <xdr:col>3</xdr:col>
      <xdr:colOff>819150</xdr:colOff>
      <xdr:row>325</xdr:row>
      <xdr:rowOff>762000</xdr:rowOff>
    </xdr:to>
    <xdr:pic>
      <xdr:nvPicPr>
        <xdr:cNvPr id="275" name="Picture 274" descr="branding-displays-8.jp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4810125" y="2680239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326</xdr:row>
      <xdr:rowOff>76200</xdr:rowOff>
    </xdr:from>
    <xdr:to>
      <xdr:col>3</xdr:col>
      <xdr:colOff>647700</xdr:colOff>
      <xdr:row>326</xdr:row>
      <xdr:rowOff>762000</xdr:rowOff>
    </xdr:to>
    <xdr:pic>
      <xdr:nvPicPr>
        <xdr:cNvPr id="276" name="Picture 275" descr="branding-displays-9.jp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4810125" y="268881225"/>
          <a:ext cx="51435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329</xdr:row>
      <xdr:rowOff>76200</xdr:rowOff>
    </xdr:from>
    <xdr:to>
      <xdr:col>3</xdr:col>
      <xdr:colOff>819150</xdr:colOff>
      <xdr:row>329</xdr:row>
      <xdr:rowOff>762000</xdr:rowOff>
    </xdr:to>
    <xdr:pic>
      <xdr:nvPicPr>
        <xdr:cNvPr id="277" name="Picture 276" descr="branding-displays-12.jp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4810125" y="2714529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331</xdr:row>
      <xdr:rowOff>76200</xdr:rowOff>
    </xdr:from>
    <xdr:to>
      <xdr:col>3</xdr:col>
      <xdr:colOff>695325</xdr:colOff>
      <xdr:row>331</xdr:row>
      <xdr:rowOff>762000</xdr:rowOff>
    </xdr:to>
    <xdr:pic>
      <xdr:nvPicPr>
        <xdr:cNvPr id="278" name="Picture 277" descr="optional-advanced-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4810125" y="272615025"/>
          <a:ext cx="56197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332</xdr:row>
      <xdr:rowOff>76200</xdr:rowOff>
    </xdr:from>
    <xdr:to>
      <xdr:col>3</xdr:col>
      <xdr:colOff>800100</xdr:colOff>
      <xdr:row>332</xdr:row>
      <xdr:rowOff>762000</xdr:rowOff>
    </xdr:to>
    <xdr:pic>
      <xdr:nvPicPr>
        <xdr:cNvPr id="279" name="Picture 278" descr="optional-advanced-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4810125" y="273472275"/>
          <a:ext cx="66675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333</xdr:row>
      <xdr:rowOff>76200</xdr:rowOff>
    </xdr:from>
    <xdr:to>
      <xdr:col>3</xdr:col>
      <xdr:colOff>657225</xdr:colOff>
      <xdr:row>333</xdr:row>
      <xdr:rowOff>762000</xdr:rowOff>
    </xdr:to>
    <xdr:pic>
      <xdr:nvPicPr>
        <xdr:cNvPr id="280" name="Picture 279" descr="optional-advanced-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4810125" y="274329525"/>
          <a:ext cx="523875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335</xdr:row>
      <xdr:rowOff>76200</xdr:rowOff>
    </xdr:from>
    <xdr:to>
      <xdr:col>3</xdr:col>
      <xdr:colOff>819150</xdr:colOff>
      <xdr:row>335</xdr:row>
      <xdr:rowOff>762000</xdr:rowOff>
    </xdr:to>
    <xdr:pic>
      <xdr:nvPicPr>
        <xdr:cNvPr id="281" name="Picture 280" descr="optional-advanced-5.jp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4810125" y="2760440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336</xdr:row>
      <xdr:rowOff>76200</xdr:rowOff>
    </xdr:from>
    <xdr:to>
      <xdr:col>3</xdr:col>
      <xdr:colOff>819150</xdr:colOff>
      <xdr:row>336</xdr:row>
      <xdr:rowOff>561975</xdr:rowOff>
    </xdr:to>
    <xdr:pic>
      <xdr:nvPicPr>
        <xdr:cNvPr id="282" name="Picture 281" descr="optional-advanced-6.jp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4810125" y="276901275"/>
          <a:ext cx="685800" cy="48577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337</xdr:row>
      <xdr:rowOff>76200</xdr:rowOff>
    </xdr:from>
    <xdr:to>
      <xdr:col>3</xdr:col>
      <xdr:colOff>819150</xdr:colOff>
      <xdr:row>337</xdr:row>
      <xdr:rowOff>762000</xdr:rowOff>
    </xdr:to>
    <xdr:pic>
      <xdr:nvPicPr>
        <xdr:cNvPr id="283" name="Picture 282" descr="optional-advanced-7.jp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4810125" y="2777585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338</xdr:row>
      <xdr:rowOff>76200</xdr:rowOff>
    </xdr:from>
    <xdr:to>
      <xdr:col>3</xdr:col>
      <xdr:colOff>819150</xdr:colOff>
      <xdr:row>338</xdr:row>
      <xdr:rowOff>762000</xdr:rowOff>
    </xdr:to>
    <xdr:pic>
      <xdr:nvPicPr>
        <xdr:cNvPr id="284" name="Picture 283" descr="optional-advanced-8.jp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4810125" y="2786157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339</xdr:row>
      <xdr:rowOff>76200</xdr:rowOff>
    </xdr:from>
    <xdr:to>
      <xdr:col>3</xdr:col>
      <xdr:colOff>819150</xdr:colOff>
      <xdr:row>339</xdr:row>
      <xdr:rowOff>762000</xdr:rowOff>
    </xdr:to>
    <xdr:pic>
      <xdr:nvPicPr>
        <xdr:cNvPr id="285" name="Picture 284" descr="optional-advanced-9.jp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4810125" y="2794730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340</xdr:row>
      <xdr:rowOff>76200</xdr:rowOff>
    </xdr:from>
    <xdr:to>
      <xdr:col>3</xdr:col>
      <xdr:colOff>819150</xdr:colOff>
      <xdr:row>340</xdr:row>
      <xdr:rowOff>762000</xdr:rowOff>
    </xdr:to>
    <xdr:pic>
      <xdr:nvPicPr>
        <xdr:cNvPr id="286" name="Picture 285" descr="optional-advanced-10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4810125" y="2803302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341</xdr:row>
      <xdr:rowOff>76200</xdr:rowOff>
    </xdr:from>
    <xdr:to>
      <xdr:col>3</xdr:col>
      <xdr:colOff>819150</xdr:colOff>
      <xdr:row>341</xdr:row>
      <xdr:rowOff>762000</xdr:rowOff>
    </xdr:to>
    <xdr:pic>
      <xdr:nvPicPr>
        <xdr:cNvPr id="287" name="Picture 286" descr="optional-advanced-11.jp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4810125" y="2811875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342</xdr:row>
      <xdr:rowOff>76200</xdr:rowOff>
    </xdr:from>
    <xdr:to>
      <xdr:col>3</xdr:col>
      <xdr:colOff>819150</xdr:colOff>
      <xdr:row>342</xdr:row>
      <xdr:rowOff>762000</xdr:rowOff>
    </xdr:to>
    <xdr:pic>
      <xdr:nvPicPr>
        <xdr:cNvPr id="288" name="Picture 287" descr="optional-advanced-12.jp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4810125" y="28204477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343</xdr:row>
      <xdr:rowOff>76200</xdr:rowOff>
    </xdr:from>
    <xdr:to>
      <xdr:col>3</xdr:col>
      <xdr:colOff>819150</xdr:colOff>
      <xdr:row>343</xdr:row>
      <xdr:rowOff>762000</xdr:rowOff>
    </xdr:to>
    <xdr:pic>
      <xdr:nvPicPr>
        <xdr:cNvPr id="289" name="Picture 288" descr="optional-advanced-13.jp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4810125" y="2829020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344</xdr:row>
      <xdr:rowOff>76200</xdr:rowOff>
    </xdr:from>
    <xdr:to>
      <xdr:col>3</xdr:col>
      <xdr:colOff>819150</xdr:colOff>
      <xdr:row>344</xdr:row>
      <xdr:rowOff>666750</xdr:rowOff>
    </xdr:to>
    <xdr:pic>
      <xdr:nvPicPr>
        <xdr:cNvPr id="290" name="Picture 289" descr="optional-advanced-14.jp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4810125" y="283759275"/>
          <a:ext cx="685800" cy="59055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345</xdr:row>
      <xdr:rowOff>76200</xdr:rowOff>
    </xdr:from>
    <xdr:to>
      <xdr:col>3</xdr:col>
      <xdr:colOff>819150</xdr:colOff>
      <xdr:row>345</xdr:row>
      <xdr:rowOff>762000</xdr:rowOff>
    </xdr:to>
    <xdr:pic>
      <xdr:nvPicPr>
        <xdr:cNvPr id="291" name="Picture 290" descr="optional-advanced-15.jp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4810125" y="284616525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346</xdr:row>
      <xdr:rowOff>76200</xdr:rowOff>
    </xdr:from>
    <xdr:to>
      <xdr:col>3</xdr:col>
      <xdr:colOff>819150</xdr:colOff>
      <xdr:row>346</xdr:row>
      <xdr:rowOff>762000</xdr:rowOff>
    </xdr:to>
    <xdr:pic>
      <xdr:nvPicPr>
        <xdr:cNvPr id="292" name="Picture 291" descr="optional-advanced-16.jp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4810125" y="285473775"/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8"/>
  <sheetViews>
    <sheetView tabSelected="1" workbookViewId="0"/>
  </sheetViews>
  <sheetFormatPr defaultRowHeight="15"/>
  <cols>
    <col min="1" max="1" width="8.7109375" customWidth="1"/>
    <col min="2" max="2" width="22.7109375" customWidth="1"/>
    <col min="3" max="3" width="38.7109375" customWidth="1"/>
    <col min="4" max="4" width="15.7109375" customWidth="1"/>
    <col min="5" max="5" width="18.7109375" customWidth="1"/>
    <col min="6" max="6" width="12.7109375" customWidth="1"/>
    <col min="7" max="7" width="16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18" customHeight="1">
      <c r="A3" s="2" t="s">
        <v>2</v>
      </c>
      <c r="B3" s="2"/>
      <c r="C3" s="2"/>
      <c r="D3" s="2"/>
      <c r="E3" s="2"/>
      <c r="F3" s="2"/>
      <c r="G3" s="2"/>
      <c r="H3" s="2"/>
    </row>
    <row r="4" spans="1:8" ht="20" customHeight="1">
      <c r="A4" s="3" t="s">
        <v>3</v>
      </c>
      <c r="B4" s="3" t="s">
        <v>4</v>
      </c>
      <c r="C4" s="3"/>
      <c r="D4" s="3"/>
      <c r="E4" s="3" t="s">
        <v>5</v>
      </c>
      <c r="F4" s="3"/>
      <c r="G4" s="3"/>
      <c r="H4" s="3"/>
    </row>
    <row r="6" spans="1:8" ht="32" customHeight="1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</row>
    <row r="7" spans="1:8" ht="24" customHeight="1">
      <c r="A7" s="5" t="s">
        <v>14</v>
      </c>
      <c r="B7" s="5"/>
      <c r="C7" s="5"/>
      <c r="D7" s="5"/>
      <c r="E7" s="5"/>
      <c r="F7" s="5"/>
      <c r="G7" s="5"/>
      <c r="H7" s="5"/>
    </row>
    <row r="8" spans="1:8" ht="68" customHeight="1">
      <c r="A8" s="6">
        <v>1</v>
      </c>
      <c r="B8" s="6" t="s">
        <v>15</v>
      </c>
      <c r="C8" s="7" t="s">
        <v>16</v>
      </c>
      <c r="E8" s="6" t="s">
        <v>17</v>
      </c>
      <c r="F8" s="6">
        <v>5</v>
      </c>
      <c r="G8" s="8">
        <v>8500</v>
      </c>
      <c r="H8" s="9">
        <f>F8*G8</f>
        <v>42500.0</v>
      </c>
    </row>
    <row r="9" spans="1:8" ht="68" customHeight="1">
      <c r="A9" s="6">
        <v>2</v>
      </c>
      <c r="B9" s="6" t="s">
        <v>15</v>
      </c>
      <c r="C9" s="7" t="s">
        <v>18</v>
      </c>
      <c r="E9" s="6" t="s">
        <v>19</v>
      </c>
      <c r="F9" s="6">
        <v>40</v>
      </c>
      <c r="G9" s="8">
        <v>1250</v>
      </c>
      <c r="H9" s="9">
        <f>F9*G9</f>
        <v>50000.0</v>
      </c>
    </row>
    <row r="10" spans="1:8" ht="68" customHeight="1">
      <c r="A10" s="6">
        <v>3</v>
      </c>
      <c r="B10" s="6" t="s">
        <v>15</v>
      </c>
      <c r="C10" s="7" t="s">
        <v>20</v>
      </c>
      <c r="E10" s="6" t="s">
        <v>21</v>
      </c>
      <c r="F10" s="6">
        <v>1</v>
      </c>
      <c r="G10" s="8">
        <v>597</v>
      </c>
      <c r="H10" s="9">
        <f>F10*G10</f>
        <v>597.0</v>
      </c>
    </row>
    <row r="11" spans="1:8" ht="68" customHeight="1">
      <c r="A11" s="6">
        <v>4</v>
      </c>
      <c r="B11" s="6" t="s">
        <v>15</v>
      </c>
      <c r="C11" s="7" t="s">
        <v>22</v>
      </c>
      <c r="D11" s="6" t="s">
        <v>23</v>
      </c>
      <c r="E11" s="6" t="s">
        <v>24</v>
      </c>
      <c r="F11" s="6">
        <v>1</v>
      </c>
      <c r="G11" s="8">
        <v>3800</v>
      </c>
      <c r="H11" s="9">
        <f>F11*G11</f>
        <v>3800.0</v>
      </c>
    </row>
    <row r="12" spans="1:8" ht="68" customHeight="1">
      <c r="A12" s="6">
        <v>5</v>
      </c>
      <c r="B12" s="6" t="s">
        <v>15</v>
      </c>
      <c r="C12" s="7" t="s">
        <v>25</v>
      </c>
      <c r="D12" s="6" t="s">
        <v>23</v>
      </c>
      <c r="E12" s="6" t="s">
        <v>26</v>
      </c>
      <c r="F12" s="6">
        <v>2</v>
      </c>
      <c r="G12" s="8">
        <v>18500</v>
      </c>
      <c r="H12" s="9">
        <f>F12*G12</f>
        <v>37000.0</v>
      </c>
    </row>
    <row r="13" spans="1:8" ht="68" customHeight="1">
      <c r="A13" s="6">
        <v>6</v>
      </c>
      <c r="B13" s="6" t="s">
        <v>15</v>
      </c>
      <c r="C13" s="7" t="s">
        <v>27</v>
      </c>
      <c r="E13" s="6" t="s">
        <v>28</v>
      </c>
      <c r="F13" s="6">
        <v>12</v>
      </c>
      <c r="G13" s="8">
        <v>850</v>
      </c>
      <c r="H13" s="9">
        <f>F13*G13</f>
        <v>10200.0</v>
      </c>
    </row>
    <row r="14" spans="1:8" ht="68" customHeight="1">
      <c r="A14" s="6">
        <v>7</v>
      </c>
      <c r="B14" s="6" t="s">
        <v>15</v>
      </c>
      <c r="C14" s="7" t="s">
        <v>29</v>
      </c>
      <c r="E14" s="6" t="s">
        <v>30</v>
      </c>
      <c r="F14" s="6">
        <v>8</v>
      </c>
      <c r="G14" s="8">
        <v>850</v>
      </c>
      <c r="H14" s="9">
        <f>F14*G14</f>
        <v>6800.0</v>
      </c>
    </row>
    <row r="15" spans="1:8" ht="68" customHeight="1">
      <c r="A15" s="6">
        <v>8</v>
      </c>
      <c r="B15" s="6" t="s">
        <v>15</v>
      </c>
      <c r="C15" s="7" t="s">
        <v>31</v>
      </c>
      <c r="E15" s="6" t="s">
        <v>24</v>
      </c>
      <c r="F15" s="6">
        <v>1</v>
      </c>
      <c r="G15" s="8">
        <v>12500</v>
      </c>
      <c r="H15" s="9">
        <f>F15*G15</f>
        <v>12500.0</v>
      </c>
    </row>
    <row r="16" spans="1:8" ht="68" customHeight="1">
      <c r="A16" s="6">
        <v>9</v>
      </c>
      <c r="B16" s="6" t="s">
        <v>15</v>
      </c>
      <c r="C16" s="7" t="s">
        <v>32</v>
      </c>
      <c r="E16" s="6" t="s">
        <v>33</v>
      </c>
      <c r="F16" s="6">
        <v>6</v>
      </c>
      <c r="G16" s="8">
        <v>4800</v>
      </c>
      <c r="H16" s="9">
        <f>F16*G16</f>
        <v>28800.0</v>
      </c>
    </row>
    <row r="17" spans="1:8" ht="68" customHeight="1">
      <c r="A17" s="6">
        <v>10</v>
      </c>
      <c r="B17" s="6" t="s">
        <v>15</v>
      </c>
      <c r="C17" s="7" t="s">
        <v>34</v>
      </c>
      <c r="E17" s="6" t="s">
        <v>35</v>
      </c>
      <c r="F17" s="6">
        <v>30</v>
      </c>
      <c r="G17" s="8">
        <v>597</v>
      </c>
      <c r="H17" s="9">
        <f>F17*G17</f>
        <v>17910.0</v>
      </c>
    </row>
    <row r="18" spans="1:8" ht="68" customHeight="1">
      <c r="A18" s="6">
        <v>11</v>
      </c>
      <c r="B18" s="6" t="s">
        <v>15</v>
      </c>
      <c r="C18" s="7" t="s">
        <v>36</v>
      </c>
      <c r="E18" s="6" t="s">
        <v>37</v>
      </c>
      <c r="F18" s="6">
        <v>3</v>
      </c>
      <c r="G18" s="8">
        <v>2400</v>
      </c>
      <c r="H18" s="9">
        <f>F18*G18</f>
        <v>7200.0</v>
      </c>
    </row>
    <row r="19" spans="1:8" ht="68" customHeight="1">
      <c r="A19" s="6">
        <v>12</v>
      </c>
      <c r="B19" s="6" t="s">
        <v>15</v>
      </c>
      <c r="C19" s="7" t="s">
        <v>38</v>
      </c>
      <c r="E19" s="6" t="s">
        <v>39</v>
      </c>
      <c r="F19" s="6">
        <v>1</v>
      </c>
      <c r="G19" s="8">
        <v>2400</v>
      </c>
      <c r="H19" s="9">
        <f>F19*G19</f>
        <v>2400.0</v>
      </c>
    </row>
    <row r="20" spans="1:8" ht="68" customHeight="1">
      <c r="A20" s="6">
        <v>13</v>
      </c>
      <c r="B20" s="6" t="s">
        <v>15</v>
      </c>
      <c r="C20" s="7" t="s">
        <v>40</v>
      </c>
      <c r="E20" s="6" t="s">
        <v>41</v>
      </c>
      <c r="F20" s="6">
        <v>2</v>
      </c>
      <c r="G20" s="8">
        <v>359</v>
      </c>
      <c r="H20" s="9">
        <f>F20*G20</f>
        <v>718.0</v>
      </c>
    </row>
    <row r="21" spans="1:8" ht="68" customHeight="1">
      <c r="A21" s="6">
        <v>14</v>
      </c>
      <c r="B21" s="6" t="s">
        <v>15</v>
      </c>
      <c r="C21" s="7" t="s">
        <v>42</v>
      </c>
      <c r="E21" s="6" t="s">
        <v>26</v>
      </c>
      <c r="F21" s="6">
        <v>2</v>
      </c>
      <c r="G21" s="8">
        <v>3200</v>
      </c>
      <c r="H21" s="9">
        <f>F21*G21</f>
        <v>6400.0</v>
      </c>
    </row>
    <row r="22" spans="1:8" ht="68" customHeight="1">
      <c r="A22" s="6">
        <v>15</v>
      </c>
      <c r="B22" s="6" t="s">
        <v>15</v>
      </c>
      <c r="C22" s="7" t="s">
        <v>43</v>
      </c>
      <c r="E22" s="6" t="s">
        <v>44</v>
      </c>
      <c r="F22" s="6">
        <v>20</v>
      </c>
      <c r="G22" s="8">
        <v>14500</v>
      </c>
      <c r="H22" s="9">
        <f>F22*G22</f>
        <v>290000.0</v>
      </c>
    </row>
    <row r="23" spans="1:8" ht="68" customHeight="1">
      <c r="A23" s="6">
        <v>16</v>
      </c>
      <c r="B23" s="6" t="s">
        <v>15</v>
      </c>
      <c r="C23" s="7" t="s">
        <v>45</v>
      </c>
      <c r="E23" s="6" t="s">
        <v>21</v>
      </c>
      <c r="F23" s="6">
        <v>1</v>
      </c>
      <c r="G23" s="8">
        <v>3200</v>
      </c>
      <c r="H23" s="9">
        <f>F23*G23</f>
        <v>3200.0</v>
      </c>
    </row>
    <row r="24" spans="1:8" ht="68" customHeight="1">
      <c r="A24" s="6">
        <v>17</v>
      </c>
      <c r="B24" s="6" t="s">
        <v>15</v>
      </c>
      <c r="C24" s="7" t="s">
        <v>46</v>
      </c>
      <c r="E24" s="6" t="s">
        <v>26</v>
      </c>
      <c r="F24" s="6">
        <v>2</v>
      </c>
      <c r="G24" s="8">
        <v>6800</v>
      </c>
      <c r="H24" s="9">
        <f>F24*G24</f>
        <v>13600.0</v>
      </c>
    </row>
    <row r="25" spans="1:8" ht="68" customHeight="1">
      <c r="A25" s="6">
        <v>18</v>
      </c>
      <c r="B25" s="6" t="s">
        <v>15</v>
      </c>
      <c r="C25" s="7" t="s">
        <v>47</v>
      </c>
      <c r="E25" s="6" t="s">
        <v>48</v>
      </c>
      <c r="F25" s="6">
        <v>4</v>
      </c>
      <c r="G25" s="8">
        <v>1060</v>
      </c>
      <c r="H25" s="9">
        <f>F25*G25</f>
        <v>4240.0</v>
      </c>
    </row>
    <row r="26" spans="1:8" ht="68" customHeight="1">
      <c r="A26" s="6">
        <v>19</v>
      </c>
      <c r="B26" s="6" t="s">
        <v>15</v>
      </c>
      <c r="C26" s="7" t="s">
        <v>49</v>
      </c>
      <c r="E26" s="6" t="s">
        <v>24</v>
      </c>
      <c r="F26" s="6">
        <v>1</v>
      </c>
      <c r="G26" s="8">
        <v>3500</v>
      </c>
      <c r="H26" s="9">
        <f>F26*G26</f>
        <v>3500.0</v>
      </c>
    </row>
    <row r="27" spans="1:8" ht="68" customHeight="1">
      <c r="A27" s="6">
        <v>20</v>
      </c>
      <c r="B27" s="6" t="s">
        <v>15</v>
      </c>
      <c r="C27" s="7" t="s">
        <v>50</v>
      </c>
      <c r="E27" s="6" t="s">
        <v>26</v>
      </c>
      <c r="F27" s="6">
        <v>2</v>
      </c>
      <c r="G27" s="8">
        <v>399</v>
      </c>
      <c r="H27" s="9">
        <f>F27*G27</f>
        <v>798.0</v>
      </c>
    </row>
    <row r="28" spans="1:8" ht="68" customHeight="1">
      <c r="A28" s="6">
        <v>21</v>
      </c>
      <c r="B28" s="6" t="s">
        <v>15</v>
      </c>
      <c r="C28" s="7" t="s">
        <v>51</v>
      </c>
      <c r="E28" s="6" t="s">
        <v>52</v>
      </c>
      <c r="F28" s="6">
        <v>1</v>
      </c>
      <c r="G28" s="8">
        <v>225</v>
      </c>
      <c r="H28" s="9">
        <f>F28*G28</f>
        <v>225.0</v>
      </c>
    </row>
    <row r="29" spans="1:8" ht="68" customHeight="1">
      <c r="A29" s="6">
        <v>22</v>
      </c>
      <c r="B29" s="6" t="s">
        <v>15</v>
      </c>
      <c r="C29" s="7" t="s">
        <v>53</v>
      </c>
      <c r="E29" s="6" t="s">
        <v>54</v>
      </c>
      <c r="F29" s="6">
        <v>1</v>
      </c>
      <c r="G29" s="8">
        <v>3200</v>
      </c>
      <c r="H29" s="9">
        <f>F29*G29</f>
        <v>3200.0</v>
      </c>
    </row>
    <row r="30" spans="1:8" ht="68" customHeight="1">
      <c r="A30" s="6">
        <v>23</v>
      </c>
      <c r="B30" s="6" t="s">
        <v>15</v>
      </c>
      <c r="C30" s="7" t="s">
        <v>55</v>
      </c>
      <c r="E30" s="6" t="s">
        <v>56</v>
      </c>
      <c r="F30" s="6">
        <v>1</v>
      </c>
      <c r="G30" s="8">
        <v>309</v>
      </c>
      <c r="H30" s="9">
        <f>F30*G30</f>
        <v>309.0</v>
      </c>
    </row>
    <row r="31" spans="1:8" ht="68" customHeight="1">
      <c r="A31" s="6">
        <v>24</v>
      </c>
      <c r="B31" s="6" t="s">
        <v>15</v>
      </c>
      <c r="C31" s="7" t="s">
        <v>57</v>
      </c>
      <c r="E31" s="6" t="s">
        <v>58</v>
      </c>
      <c r="F31" s="6">
        <v>1</v>
      </c>
      <c r="G31" s="8">
        <v>3200</v>
      </c>
      <c r="H31" s="9">
        <f>F31*G31</f>
        <v>3200.0</v>
      </c>
    </row>
    <row r="32" spans="1:8" ht="68" customHeight="1">
      <c r="A32" s="6">
        <v>25</v>
      </c>
      <c r="B32" s="6" t="s">
        <v>15</v>
      </c>
      <c r="C32" s="7" t="s">
        <v>59</v>
      </c>
      <c r="E32" s="6" t="s">
        <v>60</v>
      </c>
      <c r="F32" s="6">
        <v>1</v>
      </c>
      <c r="G32" s="8">
        <v>3200</v>
      </c>
      <c r="H32" s="9">
        <f>F32*G32</f>
        <v>3200.0</v>
      </c>
    </row>
    <row r="33" spans="1:8" ht="68" customHeight="1">
      <c r="A33" s="6">
        <v>26</v>
      </c>
      <c r="B33" s="6" t="s">
        <v>15</v>
      </c>
      <c r="C33" s="7" t="s">
        <v>61</v>
      </c>
      <c r="E33" s="6" t="s">
        <v>33</v>
      </c>
      <c r="F33" s="6">
        <v>6</v>
      </c>
      <c r="G33" s="8">
        <v>359</v>
      </c>
      <c r="H33" s="9">
        <f>F33*G33</f>
        <v>2154.0</v>
      </c>
    </row>
    <row r="34" spans="1:8" ht="68" customHeight="1">
      <c r="A34" s="6">
        <v>27</v>
      </c>
      <c r="B34" s="6" t="s">
        <v>15</v>
      </c>
      <c r="C34" s="7" t="s">
        <v>62</v>
      </c>
      <c r="D34" s="6" t="s">
        <v>23</v>
      </c>
      <c r="E34" s="6" t="s">
        <v>63</v>
      </c>
      <c r="F34" s="6">
        <v>1</v>
      </c>
      <c r="G34" s="8">
        <v>3200</v>
      </c>
      <c r="H34" s="9">
        <f>F34*G34</f>
        <v>3200.0</v>
      </c>
    </row>
    <row r="35" spans="1:8" ht="68" customHeight="1">
      <c r="A35" s="6">
        <v>28</v>
      </c>
      <c r="B35" s="6" t="s">
        <v>15</v>
      </c>
      <c r="C35" s="7" t="s">
        <v>64</v>
      </c>
      <c r="E35" s="6" t="s">
        <v>48</v>
      </c>
      <c r="F35" s="6">
        <v>4</v>
      </c>
      <c r="G35" s="8">
        <v>3200</v>
      </c>
      <c r="H35" s="9">
        <f>F35*G35</f>
        <v>12800.0</v>
      </c>
    </row>
    <row r="36" spans="1:8" ht="24" customHeight="1">
      <c r="A36" s="5" t="s">
        <v>65</v>
      </c>
      <c r="B36" s="5"/>
      <c r="C36" s="5"/>
      <c r="D36" s="5"/>
      <c r="E36" s="5"/>
      <c r="F36" s="5"/>
      <c r="G36" s="5"/>
      <c r="H36" s="5"/>
    </row>
    <row r="37" spans="1:8" ht="68" customHeight="1">
      <c r="A37" s="6">
        <v>29</v>
      </c>
      <c r="B37" s="6" t="s">
        <v>66</v>
      </c>
      <c r="C37" s="7" t="s">
        <v>67</v>
      </c>
      <c r="E37" s="6" t="s">
        <v>68</v>
      </c>
      <c r="F37" s="6">
        <v>40</v>
      </c>
      <c r="G37" s="8">
        <v>359</v>
      </c>
      <c r="H37" s="9">
        <f>F37*G37</f>
        <v>14360.0</v>
      </c>
    </row>
    <row r="38" spans="1:8" ht="68" customHeight="1">
      <c r="A38" s="6">
        <v>30</v>
      </c>
      <c r="B38" s="6" t="s">
        <v>66</v>
      </c>
      <c r="C38" s="7" t="s">
        <v>69</v>
      </c>
      <c r="E38" s="6" t="s">
        <v>70</v>
      </c>
      <c r="F38" s="6">
        <v>6</v>
      </c>
      <c r="G38" s="8">
        <v>427</v>
      </c>
      <c r="H38" s="9">
        <f>F38*G38</f>
        <v>2562.0</v>
      </c>
    </row>
    <row r="39" spans="1:8" ht="68" customHeight="1">
      <c r="A39" s="6">
        <v>31</v>
      </c>
      <c r="B39" s="6" t="s">
        <v>66</v>
      </c>
      <c r="C39" s="7" t="s">
        <v>71</v>
      </c>
      <c r="E39" s="6" t="s">
        <v>68</v>
      </c>
      <c r="F39" s="6">
        <v>40</v>
      </c>
      <c r="G39" s="8">
        <v>280</v>
      </c>
      <c r="H39" s="9">
        <f>F39*G39</f>
        <v>11200.0</v>
      </c>
    </row>
    <row r="40" spans="1:8" ht="68" customHeight="1">
      <c r="A40" s="6">
        <v>32</v>
      </c>
      <c r="B40" s="6" t="s">
        <v>66</v>
      </c>
      <c r="C40" s="7" t="s">
        <v>72</v>
      </c>
      <c r="E40" s="6" t="s">
        <v>73</v>
      </c>
      <c r="F40" s="6">
        <v>8</v>
      </c>
      <c r="G40" s="8">
        <v>120</v>
      </c>
      <c r="H40" s="9">
        <f>F40*G40</f>
        <v>960.0</v>
      </c>
    </row>
    <row r="41" spans="1:8" ht="68" customHeight="1">
      <c r="A41" s="6">
        <v>33</v>
      </c>
      <c r="B41" s="6" t="s">
        <v>66</v>
      </c>
      <c r="C41" s="7" t="s">
        <v>74</v>
      </c>
      <c r="E41" s="6" t="s">
        <v>75</v>
      </c>
      <c r="F41" s="6">
        <v>20</v>
      </c>
      <c r="G41" s="8">
        <v>280</v>
      </c>
      <c r="H41" s="9">
        <f>F41*G41</f>
        <v>5600.0</v>
      </c>
    </row>
    <row r="42" spans="1:8" ht="68" customHeight="1">
      <c r="A42" s="6">
        <v>34</v>
      </c>
      <c r="B42" s="6" t="s">
        <v>66</v>
      </c>
      <c r="C42" s="7" t="s">
        <v>76</v>
      </c>
      <c r="E42" s="6" t="s">
        <v>77</v>
      </c>
      <c r="F42" s="6">
        <v>40</v>
      </c>
      <c r="G42" s="8">
        <v>779</v>
      </c>
      <c r="H42" s="9">
        <f>F42*G42</f>
        <v>31160.0</v>
      </c>
    </row>
    <row r="43" spans="1:8" ht="68" customHeight="1">
      <c r="A43" s="6">
        <v>35</v>
      </c>
      <c r="B43" s="6" t="s">
        <v>66</v>
      </c>
      <c r="C43" s="7" t="s">
        <v>78</v>
      </c>
      <c r="E43" s="6" t="s">
        <v>70</v>
      </c>
      <c r="F43" s="6">
        <v>6</v>
      </c>
      <c r="G43" s="8">
        <v>140</v>
      </c>
      <c r="H43" s="9">
        <f>F43*G43</f>
        <v>840.0</v>
      </c>
    </row>
    <row r="44" spans="1:8" ht="68" customHeight="1">
      <c r="A44" s="6">
        <v>36</v>
      </c>
      <c r="B44" s="6" t="s">
        <v>66</v>
      </c>
      <c r="C44" s="7" t="s">
        <v>79</v>
      </c>
      <c r="E44" s="6" t="s">
        <v>80</v>
      </c>
      <c r="F44" s="6">
        <v>10</v>
      </c>
      <c r="G44" s="8">
        <v>20489</v>
      </c>
      <c r="H44" s="9">
        <f>F44*G44</f>
        <v>204890.0</v>
      </c>
    </row>
    <row r="45" spans="1:8" ht="68" customHeight="1">
      <c r="A45" s="6">
        <v>37</v>
      </c>
      <c r="B45" s="6" t="s">
        <v>66</v>
      </c>
      <c r="C45" s="7" t="s">
        <v>81</v>
      </c>
      <c r="D45" s="6" t="s">
        <v>23</v>
      </c>
      <c r="E45" s="6" t="s">
        <v>82</v>
      </c>
      <c r="F45" s="6">
        <v>6</v>
      </c>
      <c r="G45" s="8">
        <v>140</v>
      </c>
      <c r="H45" s="9">
        <f>F45*G45</f>
        <v>840.0</v>
      </c>
    </row>
    <row r="46" spans="1:8" ht="68" customHeight="1">
      <c r="A46" s="6">
        <v>38</v>
      </c>
      <c r="B46" s="6" t="s">
        <v>66</v>
      </c>
      <c r="C46" s="7" t="s">
        <v>83</v>
      </c>
      <c r="E46" s="6" t="s">
        <v>82</v>
      </c>
      <c r="F46" s="6">
        <v>6</v>
      </c>
      <c r="G46" s="8">
        <v>140</v>
      </c>
      <c r="H46" s="9">
        <f>F46*G46</f>
        <v>840.0</v>
      </c>
    </row>
    <row r="47" spans="1:8" ht="68" customHeight="1">
      <c r="A47" s="6">
        <v>39</v>
      </c>
      <c r="B47" s="6" t="s">
        <v>66</v>
      </c>
      <c r="C47" s="7" t="s">
        <v>84</v>
      </c>
      <c r="E47" s="6" t="s">
        <v>48</v>
      </c>
      <c r="F47" s="6">
        <v>4</v>
      </c>
      <c r="G47" s="8">
        <v>280</v>
      </c>
      <c r="H47" s="9">
        <f>F47*G47</f>
        <v>1120.0</v>
      </c>
    </row>
    <row r="48" spans="1:8" ht="68" customHeight="1">
      <c r="A48" s="6">
        <v>40</v>
      </c>
      <c r="B48" s="6" t="s">
        <v>66</v>
      </c>
      <c r="C48" s="7" t="s">
        <v>85</v>
      </c>
      <c r="E48" s="6" t="s">
        <v>48</v>
      </c>
      <c r="F48" s="6">
        <v>4</v>
      </c>
      <c r="G48" s="8">
        <v>280</v>
      </c>
      <c r="H48" s="9">
        <f>F48*G48</f>
        <v>1120.0</v>
      </c>
    </row>
    <row r="49" spans="1:8" ht="68" customHeight="1">
      <c r="A49" s="6">
        <v>41</v>
      </c>
      <c r="B49" s="6" t="s">
        <v>66</v>
      </c>
      <c r="C49" s="7" t="s">
        <v>86</v>
      </c>
      <c r="E49" s="6" t="s">
        <v>80</v>
      </c>
      <c r="F49" s="6">
        <v>10</v>
      </c>
      <c r="G49" s="8">
        <v>169</v>
      </c>
      <c r="H49" s="9">
        <f>F49*G49</f>
        <v>1690.0</v>
      </c>
    </row>
    <row r="50" spans="1:8" ht="68" customHeight="1">
      <c r="A50" s="6">
        <v>42</v>
      </c>
      <c r="B50" s="6" t="s">
        <v>66</v>
      </c>
      <c r="C50" s="7" t="s">
        <v>87</v>
      </c>
      <c r="E50" s="6" t="s">
        <v>88</v>
      </c>
      <c r="F50" s="6">
        <v>12</v>
      </c>
      <c r="G50" s="8">
        <v>280</v>
      </c>
      <c r="H50" s="9">
        <f>F50*G50</f>
        <v>3360.0</v>
      </c>
    </row>
    <row r="51" spans="1:8" ht="68" customHeight="1">
      <c r="A51" s="6">
        <v>43</v>
      </c>
      <c r="B51" s="6" t="s">
        <v>66</v>
      </c>
      <c r="C51" s="7" t="s">
        <v>89</v>
      </c>
      <c r="E51" s="6" t="s">
        <v>70</v>
      </c>
      <c r="F51" s="6">
        <v>6</v>
      </c>
      <c r="G51" s="8">
        <v>280</v>
      </c>
      <c r="H51" s="9">
        <f>F51*G51</f>
        <v>1680.0</v>
      </c>
    </row>
    <row r="52" spans="1:8" ht="68" customHeight="1">
      <c r="A52" s="6">
        <v>44</v>
      </c>
      <c r="B52" s="6" t="s">
        <v>66</v>
      </c>
      <c r="C52" s="7" t="s">
        <v>90</v>
      </c>
      <c r="E52" s="6" t="s">
        <v>73</v>
      </c>
      <c r="F52" s="6">
        <v>8</v>
      </c>
      <c r="G52" s="8">
        <v>359</v>
      </c>
      <c r="H52" s="9">
        <f>F52*G52</f>
        <v>2872.0</v>
      </c>
    </row>
    <row r="53" spans="1:8" ht="68" customHeight="1">
      <c r="A53" s="6">
        <v>45</v>
      </c>
      <c r="B53" s="6" t="s">
        <v>66</v>
      </c>
      <c r="C53" s="7" t="s">
        <v>91</v>
      </c>
      <c r="E53" s="6" t="s">
        <v>80</v>
      </c>
      <c r="F53" s="6">
        <v>10</v>
      </c>
      <c r="G53" s="8">
        <v>280</v>
      </c>
      <c r="H53" s="9">
        <f>F53*G53</f>
        <v>2800.0</v>
      </c>
    </row>
    <row r="54" spans="1:8" ht="68" customHeight="1">
      <c r="A54" s="6">
        <v>46</v>
      </c>
      <c r="B54" s="6" t="s">
        <v>66</v>
      </c>
      <c r="C54" s="7" t="s">
        <v>92</v>
      </c>
      <c r="D54" s="6" t="s">
        <v>23</v>
      </c>
      <c r="E54" s="6" t="s">
        <v>48</v>
      </c>
      <c r="F54" s="6">
        <v>4</v>
      </c>
      <c r="G54" s="8">
        <v>280</v>
      </c>
      <c r="H54" s="9">
        <f>F54*G54</f>
        <v>1120.0</v>
      </c>
    </row>
    <row r="55" spans="1:8" ht="68" customHeight="1">
      <c r="A55" s="6">
        <v>47</v>
      </c>
      <c r="B55" s="6" t="s">
        <v>66</v>
      </c>
      <c r="C55" s="7" t="s">
        <v>93</v>
      </c>
      <c r="E55" s="6" t="s">
        <v>73</v>
      </c>
      <c r="F55" s="6">
        <v>8</v>
      </c>
      <c r="G55" s="8">
        <v>399</v>
      </c>
      <c r="H55" s="9">
        <f>F55*G55</f>
        <v>3192.0</v>
      </c>
    </row>
    <row r="56" spans="1:8" ht="68" customHeight="1">
      <c r="A56" s="6">
        <v>48</v>
      </c>
      <c r="B56" s="6" t="s">
        <v>66</v>
      </c>
      <c r="C56" s="7" t="s">
        <v>94</v>
      </c>
      <c r="E56" s="6" t="s">
        <v>95</v>
      </c>
      <c r="F56" s="6">
        <v>20</v>
      </c>
      <c r="G56" s="8">
        <v>359</v>
      </c>
      <c r="H56" s="9">
        <f>F56*G56</f>
        <v>7180.0</v>
      </c>
    </row>
    <row r="57" spans="1:8" ht="68" customHeight="1">
      <c r="A57" s="6">
        <v>49</v>
      </c>
      <c r="B57" s="6" t="s">
        <v>66</v>
      </c>
      <c r="C57" s="7" t="s">
        <v>96</v>
      </c>
      <c r="E57" s="6" t="s">
        <v>80</v>
      </c>
      <c r="F57" s="6">
        <v>10</v>
      </c>
      <c r="G57" s="8">
        <v>14499</v>
      </c>
      <c r="H57" s="9">
        <f>F57*G57</f>
        <v>144990.0</v>
      </c>
    </row>
    <row r="58" spans="1:8" ht="68" customHeight="1">
      <c r="A58" s="6">
        <v>50</v>
      </c>
      <c r="B58" s="6" t="s">
        <v>66</v>
      </c>
      <c r="C58" s="7" t="s">
        <v>97</v>
      </c>
      <c r="E58" s="6" t="s">
        <v>98</v>
      </c>
      <c r="F58" s="6">
        <v>40</v>
      </c>
      <c r="G58" s="8">
        <v>3289</v>
      </c>
      <c r="H58" s="9">
        <f>F58*G58</f>
        <v>131560.0</v>
      </c>
    </row>
    <row r="59" spans="1:8" ht="68" customHeight="1">
      <c r="A59" s="6">
        <v>51</v>
      </c>
      <c r="B59" s="6" t="s">
        <v>66</v>
      </c>
      <c r="C59" s="7" t="s">
        <v>99</v>
      </c>
      <c r="D59" s="6" t="s">
        <v>23</v>
      </c>
      <c r="E59" s="6" t="s">
        <v>73</v>
      </c>
      <c r="F59" s="6">
        <v>8</v>
      </c>
      <c r="G59" s="8">
        <v>699</v>
      </c>
      <c r="H59" s="9">
        <f>F59*G59</f>
        <v>5592.0</v>
      </c>
    </row>
    <row r="60" spans="1:8" ht="68" customHeight="1">
      <c r="A60" s="6">
        <v>52</v>
      </c>
      <c r="B60" s="6" t="s">
        <v>66</v>
      </c>
      <c r="C60" s="7" t="s">
        <v>100</v>
      </c>
      <c r="E60" s="6" t="s">
        <v>48</v>
      </c>
      <c r="F60" s="6">
        <v>4</v>
      </c>
      <c r="G60" s="8">
        <v>420</v>
      </c>
      <c r="H60" s="9">
        <f>F60*G60</f>
        <v>1680.0</v>
      </c>
    </row>
    <row r="61" spans="1:8" ht="68" customHeight="1">
      <c r="A61" s="6">
        <v>53</v>
      </c>
      <c r="B61" s="6" t="s">
        <v>66</v>
      </c>
      <c r="C61" s="7" t="s">
        <v>101</v>
      </c>
      <c r="E61" s="6" t="s">
        <v>41</v>
      </c>
      <c r="F61" s="6">
        <v>2</v>
      </c>
      <c r="G61" s="8">
        <v>280</v>
      </c>
      <c r="H61" s="9">
        <f>F61*G61</f>
        <v>560.0</v>
      </c>
    </row>
    <row r="62" spans="1:8" ht="68" customHeight="1">
      <c r="A62" s="6">
        <v>54</v>
      </c>
      <c r="B62" s="6" t="s">
        <v>66</v>
      </c>
      <c r="C62" s="7" t="s">
        <v>102</v>
      </c>
      <c r="E62" s="6" t="s">
        <v>48</v>
      </c>
      <c r="F62" s="6">
        <v>4</v>
      </c>
      <c r="G62" s="8">
        <v>14499</v>
      </c>
      <c r="H62" s="9">
        <f>F62*G62</f>
        <v>57996.0</v>
      </c>
    </row>
    <row r="63" spans="1:8" ht="68" customHeight="1">
      <c r="A63" s="6">
        <v>55</v>
      </c>
      <c r="B63" s="6" t="s">
        <v>66</v>
      </c>
      <c r="C63" s="7" t="s">
        <v>103</v>
      </c>
      <c r="E63" s="6" t="s">
        <v>104</v>
      </c>
      <c r="F63" s="6">
        <v>10</v>
      </c>
      <c r="G63" s="8">
        <v>280</v>
      </c>
      <c r="H63" s="9">
        <f>F63*G63</f>
        <v>2800.0</v>
      </c>
    </row>
    <row r="64" spans="1:8" ht="68" customHeight="1">
      <c r="A64" s="6">
        <v>56</v>
      </c>
      <c r="B64" s="6" t="s">
        <v>66</v>
      </c>
      <c r="C64" s="7" t="s">
        <v>105</v>
      </c>
      <c r="E64" s="6" t="s">
        <v>41</v>
      </c>
      <c r="F64" s="6">
        <v>2</v>
      </c>
      <c r="G64" s="8">
        <v>280</v>
      </c>
      <c r="H64" s="9">
        <f>F64*G64</f>
        <v>560.0</v>
      </c>
    </row>
    <row r="65" spans="1:8" ht="24" customHeight="1">
      <c r="A65" s="5" t="s">
        <v>106</v>
      </c>
      <c r="B65" s="5"/>
      <c r="C65" s="5"/>
      <c r="D65" s="5"/>
      <c r="E65" s="5"/>
      <c r="F65" s="5"/>
      <c r="G65" s="5"/>
      <c r="H65" s="5"/>
    </row>
    <row r="66" spans="1:8" ht="68" customHeight="1">
      <c r="A66" s="6">
        <v>57</v>
      </c>
      <c r="B66" s="6" t="s">
        <v>107</v>
      </c>
      <c r="C66" s="7" t="s">
        <v>108</v>
      </c>
      <c r="E66" s="6" t="s">
        <v>73</v>
      </c>
      <c r="F66" s="6">
        <v>8</v>
      </c>
      <c r="G66" s="8">
        <v>3500</v>
      </c>
      <c r="H66" s="9">
        <f>F66*G66</f>
        <v>28000.0</v>
      </c>
    </row>
    <row r="67" spans="1:8" ht="68" customHeight="1">
      <c r="A67" s="6">
        <v>58</v>
      </c>
      <c r="B67" s="6" t="s">
        <v>107</v>
      </c>
      <c r="C67" s="7" t="s">
        <v>109</v>
      </c>
      <c r="E67" s="6" t="s">
        <v>110</v>
      </c>
      <c r="F67" s="6">
        <v>4</v>
      </c>
      <c r="G67" s="8">
        <v>3500</v>
      </c>
      <c r="H67" s="9">
        <f>F67*G67</f>
        <v>14000.0</v>
      </c>
    </row>
    <row r="68" spans="1:8" ht="68" customHeight="1">
      <c r="A68" s="6">
        <v>59</v>
      </c>
      <c r="B68" s="6" t="s">
        <v>107</v>
      </c>
      <c r="C68" s="7" t="s">
        <v>111</v>
      </c>
      <c r="E68" s="6" t="s">
        <v>112</v>
      </c>
      <c r="F68" s="6">
        <v>8</v>
      </c>
      <c r="G68" s="8">
        <v>3500</v>
      </c>
      <c r="H68" s="9">
        <f>F68*G68</f>
        <v>28000.0</v>
      </c>
    </row>
    <row r="69" spans="1:8" ht="68" customHeight="1">
      <c r="A69" s="6">
        <v>60</v>
      </c>
      <c r="B69" s="6" t="s">
        <v>107</v>
      </c>
      <c r="C69" s="7" t="s">
        <v>113</v>
      </c>
      <c r="E69" s="6" t="s">
        <v>112</v>
      </c>
      <c r="F69" s="6">
        <v>8</v>
      </c>
      <c r="G69" s="8">
        <v>3500</v>
      </c>
      <c r="H69" s="9">
        <f>F69*G69</f>
        <v>28000.0</v>
      </c>
    </row>
    <row r="70" spans="1:8" ht="68" customHeight="1">
      <c r="A70" s="6">
        <v>61</v>
      </c>
      <c r="B70" s="6" t="s">
        <v>107</v>
      </c>
      <c r="C70" s="7" t="s">
        <v>114</v>
      </c>
      <c r="E70" s="6" t="s">
        <v>115</v>
      </c>
      <c r="F70" s="6">
        <v>10</v>
      </c>
      <c r="G70" s="8">
        <v>188.37</v>
      </c>
      <c r="H70" s="9">
        <f>F70*G70</f>
        <v>1883.7</v>
      </c>
    </row>
    <row r="71" spans="1:8" ht="68" customHeight="1">
      <c r="A71" s="6">
        <v>62</v>
      </c>
      <c r="B71" s="6" t="s">
        <v>107</v>
      </c>
      <c r="C71" s="7" t="s">
        <v>116</v>
      </c>
      <c r="E71" s="6" t="s">
        <v>117</v>
      </c>
      <c r="F71" s="6">
        <v>10</v>
      </c>
      <c r="G71" s="8">
        <v>399</v>
      </c>
      <c r="H71" s="9">
        <f>F71*G71</f>
        <v>3990.0</v>
      </c>
    </row>
    <row r="72" spans="1:8" ht="68" customHeight="1">
      <c r="A72" s="6">
        <v>63</v>
      </c>
      <c r="B72" s="6" t="s">
        <v>107</v>
      </c>
      <c r="C72" s="7" t="s">
        <v>118</v>
      </c>
      <c r="E72" s="6" t="s">
        <v>117</v>
      </c>
      <c r="F72" s="6">
        <v>10</v>
      </c>
      <c r="G72" s="8">
        <v>3500</v>
      </c>
      <c r="H72" s="9">
        <f>F72*G72</f>
        <v>35000.0</v>
      </c>
    </row>
    <row r="73" spans="1:8" ht="68" customHeight="1">
      <c r="A73" s="6">
        <v>64</v>
      </c>
      <c r="B73" s="6" t="s">
        <v>107</v>
      </c>
      <c r="C73" s="7" t="s">
        <v>119</v>
      </c>
      <c r="E73" s="6" t="s">
        <v>120</v>
      </c>
      <c r="F73" s="6">
        <v>6</v>
      </c>
      <c r="G73" s="8">
        <v>349.99</v>
      </c>
      <c r="H73" s="9">
        <f>F73*G73</f>
        <v>2099.94</v>
      </c>
    </row>
    <row r="74" spans="1:8" ht="68" customHeight="1">
      <c r="A74" s="6">
        <v>65</v>
      </c>
      <c r="B74" s="6" t="s">
        <v>107</v>
      </c>
      <c r="C74" s="7" t="s">
        <v>121</v>
      </c>
      <c r="E74" s="6" t="s">
        <v>122</v>
      </c>
      <c r="F74" s="6">
        <v>4</v>
      </c>
      <c r="G74" s="8">
        <v>3500</v>
      </c>
      <c r="H74" s="9">
        <f>F74*G74</f>
        <v>14000.0</v>
      </c>
    </row>
    <row r="75" spans="1:8" ht="68" customHeight="1">
      <c r="A75" s="6">
        <v>66</v>
      </c>
      <c r="B75" s="6" t="s">
        <v>107</v>
      </c>
      <c r="C75" s="7" t="s">
        <v>123</v>
      </c>
      <c r="E75" s="6" t="s">
        <v>117</v>
      </c>
      <c r="F75" s="6">
        <v>10</v>
      </c>
      <c r="G75" s="8">
        <v>3500</v>
      </c>
      <c r="H75" s="9">
        <f>F75*G75</f>
        <v>35000.0</v>
      </c>
    </row>
    <row r="76" spans="1:8" ht="68" customHeight="1">
      <c r="A76" s="6">
        <v>67</v>
      </c>
      <c r="B76" s="6" t="s">
        <v>107</v>
      </c>
      <c r="C76" s="7" t="s">
        <v>124</v>
      </c>
      <c r="E76" s="6" t="s">
        <v>73</v>
      </c>
      <c r="F76" s="6">
        <v>8</v>
      </c>
      <c r="G76" s="8">
        <v>3500</v>
      </c>
      <c r="H76" s="9">
        <f>F76*G76</f>
        <v>28000.0</v>
      </c>
    </row>
    <row r="77" spans="1:8" ht="68" customHeight="1">
      <c r="A77" s="6">
        <v>68</v>
      </c>
      <c r="B77" s="6" t="s">
        <v>107</v>
      </c>
      <c r="C77" s="7" t="s">
        <v>125</v>
      </c>
      <c r="E77" s="6" t="s">
        <v>112</v>
      </c>
      <c r="F77" s="6">
        <v>8</v>
      </c>
      <c r="G77" s="8">
        <v>3500</v>
      </c>
      <c r="H77" s="9">
        <f>F77*G77</f>
        <v>28000.0</v>
      </c>
    </row>
    <row r="78" spans="1:8" ht="68" customHeight="1">
      <c r="A78" s="6">
        <v>69</v>
      </c>
      <c r="B78" s="6" t="s">
        <v>107</v>
      </c>
      <c r="C78" s="7" t="s">
        <v>126</v>
      </c>
      <c r="E78" s="6" t="s">
        <v>73</v>
      </c>
      <c r="F78" s="6">
        <v>8</v>
      </c>
      <c r="G78" s="8">
        <v>3500</v>
      </c>
      <c r="H78" s="9">
        <f>F78*G78</f>
        <v>28000.0</v>
      </c>
    </row>
    <row r="79" spans="1:8" ht="68" customHeight="1">
      <c r="A79" s="6">
        <v>70</v>
      </c>
      <c r="B79" s="6" t="s">
        <v>107</v>
      </c>
      <c r="C79" s="7" t="s">
        <v>127</v>
      </c>
      <c r="E79" s="6" t="s">
        <v>73</v>
      </c>
      <c r="F79" s="6">
        <v>8</v>
      </c>
      <c r="G79" s="8">
        <v>309</v>
      </c>
      <c r="H79" s="9">
        <f>F79*G79</f>
        <v>2472.0</v>
      </c>
    </row>
    <row r="80" spans="1:8" ht="68" customHeight="1">
      <c r="A80" s="6">
        <v>71</v>
      </c>
      <c r="B80" s="6" t="s">
        <v>107</v>
      </c>
      <c r="C80" s="7" t="s">
        <v>128</v>
      </c>
      <c r="E80" s="6" t="s">
        <v>70</v>
      </c>
      <c r="F80" s="6">
        <v>6</v>
      </c>
      <c r="G80" s="8">
        <v>3500</v>
      </c>
      <c r="H80" s="9">
        <f>F80*G80</f>
        <v>21000.0</v>
      </c>
    </row>
    <row r="81" spans="1:8" ht="68" customHeight="1">
      <c r="A81" s="6">
        <v>72</v>
      </c>
      <c r="B81" s="6" t="s">
        <v>107</v>
      </c>
      <c r="C81" s="7" t="s">
        <v>129</v>
      </c>
      <c r="E81" s="6" t="s">
        <v>115</v>
      </c>
      <c r="F81" s="6">
        <v>10</v>
      </c>
      <c r="G81" s="8">
        <v>3500</v>
      </c>
      <c r="H81" s="9">
        <f>F81*G81</f>
        <v>35000.0</v>
      </c>
    </row>
    <row r="82" spans="1:8" ht="68" customHeight="1">
      <c r="A82" s="6">
        <v>73</v>
      </c>
      <c r="B82" s="6" t="s">
        <v>107</v>
      </c>
      <c r="C82" s="7" t="s">
        <v>130</v>
      </c>
      <c r="E82" s="6" t="s">
        <v>73</v>
      </c>
      <c r="F82" s="6">
        <v>8</v>
      </c>
      <c r="G82" s="8">
        <v>3500</v>
      </c>
      <c r="H82" s="9">
        <f>F82*G82</f>
        <v>28000.0</v>
      </c>
    </row>
    <row r="83" spans="1:8" ht="68" customHeight="1">
      <c r="A83" s="6">
        <v>74</v>
      </c>
      <c r="B83" s="6" t="s">
        <v>107</v>
      </c>
      <c r="C83" s="7" t="s">
        <v>131</v>
      </c>
      <c r="E83" s="6" t="s">
        <v>80</v>
      </c>
      <c r="F83" s="6">
        <v>10</v>
      </c>
      <c r="G83" s="8">
        <v>199</v>
      </c>
      <c r="H83" s="9">
        <f>F83*G83</f>
        <v>1990.0</v>
      </c>
    </row>
    <row r="84" spans="1:8" ht="68" customHeight="1">
      <c r="A84" s="6">
        <v>75</v>
      </c>
      <c r="B84" s="6" t="s">
        <v>107</v>
      </c>
      <c r="C84" s="7" t="s">
        <v>132</v>
      </c>
      <c r="E84" s="6" t="s">
        <v>133</v>
      </c>
      <c r="F84" s="6">
        <v>15</v>
      </c>
      <c r="G84" s="8">
        <v>169</v>
      </c>
      <c r="H84" s="9">
        <f>F84*G84</f>
        <v>2535.0</v>
      </c>
    </row>
    <row r="85" spans="1:8" ht="68" customHeight="1">
      <c r="A85" s="6">
        <v>76</v>
      </c>
      <c r="B85" s="6" t="s">
        <v>107</v>
      </c>
      <c r="C85" s="7" t="s">
        <v>134</v>
      </c>
      <c r="E85" s="6" t="s">
        <v>115</v>
      </c>
      <c r="F85" s="6">
        <v>10</v>
      </c>
      <c r="G85" s="8">
        <v>199</v>
      </c>
      <c r="H85" s="9">
        <f>F85*G85</f>
        <v>1990.0</v>
      </c>
    </row>
    <row r="86" spans="1:8" ht="68" customHeight="1">
      <c r="A86" s="6">
        <v>77</v>
      </c>
      <c r="B86" s="6" t="s">
        <v>107</v>
      </c>
      <c r="C86" s="7" t="s">
        <v>135</v>
      </c>
      <c r="E86" s="6" t="s">
        <v>133</v>
      </c>
      <c r="F86" s="6">
        <v>15</v>
      </c>
      <c r="G86" s="8">
        <v>649</v>
      </c>
      <c r="H86" s="9">
        <f>F86*G86</f>
        <v>9735.0</v>
      </c>
    </row>
    <row r="87" spans="1:8" ht="68" customHeight="1">
      <c r="A87" s="6">
        <v>78</v>
      </c>
      <c r="B87" s="6" t="s">
        <v>107</v>
      </c>
      <c r="C87" s="7" t="s">
        <v>136</v>
      </c>
      <c r="E87" s="6" t="s">
        <v>137</v>
      </c>
      <c r="F87" s="6">
        <v>1</v>
      </c>
      <c r="G87" s="8">
        <v>3500</v>
      </c>
      <c r="H87" s="9">
        <f>F87*G87</f>
        <v>3500.0</v>
      </c>
    </row>
    <row r="88" spans="1:8" ht="68" customHeight="1">
      <c r="A88" s="6">
        <v>79</v>
      </c>
      <c r="B88" s="6" t="s">
        <v>107</v>
      </c>
      <c r="C88" s="7" t="s">
        <v>138</v>
      </c>
      <c r="E88" s="6" t="s">
        <v>80</v>
      </c>
      <c r="F88" s="6">
        <v>10</v>
      </c>
      <c r="G88" s="8">
        <v>3500</v>
      </c>
      <c r="H88" s="9">
        <f>F88*G88</f>
        <v>35000.0</v>
      </c>
    </row>
    <row r="89" spans="1:8" ht="68" customHeight="1">
      <c r="A89" s="6">
        <v>80</v>
      </c>
      <c r="B89" s="6" t="s">
        <v>107</v>
      </c>
      <c r="C89" s="7" t="s">
        <v>139</v>
      </c>
      <c r="E89" s="6" t="s">
        <v>104</v>
      </c>
      <c r="F89" s="6">
        <v>10</v>
      </c>
      <c r="G89" s="8">
        <v>309</v>
      </c>
      <c r="H89" s="9">
        <f>F89*G89</f>
        <v>3090.0</v>
      </c>
    </row>
    <row r="90" spans="1:8" ht="68" customHeight="1">
      <c r="A90" s="6">
        <v>81</v>
      </c>
      <c r="B90" s="6" t="s">
        <v>107</v>
      </c>
      <c r="C90" s="7" t="s">
        <v>140</v>
      </c>
      <c r="E90" s="6" t="s">
        <v>73</v>
      </c>
      <c r="F90" s="6">
        <v>8</v>
      </c>
      <c r="G90" s="8">
        <v>38000</v>
      </c>
      <c r="H90" s="9">
        <f>F90*G90</f>
        <v>304000.0</v>
      </c>
    </row>
    <row r="91" spans="1:8" ht="68" customHeight="1">
      <c r="A91" s="6">
        <v>82</v>
      </c>
      <c r="B91" s="6" t="s">
        <v>107</v>
      </c>
      <c r="C91" s="7" t="s">
        <v>141</v>
      </c>
      <c r="E91" s="6" t="s">
        <v>21</v>
      </c>
      <c r="F91" s="6">
        <v>1</v>
      </c>
      <c r="G91" s="8">
        <v>65000</v>
      </c>
      <c r="H91" s="9">
        <f>F91*G91</f>
        <v>65000.0</v>
      </c>
    </row>
    <row r="92" spans="1:8" ht="68" customHeight="1">
      <c r="A92" s="6">
        <v>83</v>
      </c>
      <c r="B92" s="6" t="s">
        <v>107</v>
      </c>
      <c r="C92" s="7" t="s">
        <v>142</v>
      </c>
      <c r="E92" s="6" t="s">
        <v>41</v>
      </c>
      <c r="F92" s="6">
        <v>2</v>
      </c>
      <c r="G92" s="8">
        <v>14499</v>
      </c>
      <c r="H92" s="9">
        <f>F92*G92</f>
        <v>28998.0</v>
      </c>
    </row>
    <row r="93" spans="1:8" ht="68" customHeight="1">
      <c r="A93" s="6">
        <v>84</v>
      </c>
      <c r="B93" s="6" t="s">
        <v>107</v>
      </c>
      <c r="C93" s="7" t="s">
        <v>143</v>
      </c>
      <c r="E93" s="6" t="s">
        <v>144</v>
      </c>
      <c r="F93" s="6">
        <v>1</v>
      </c>
      <c r="G93" s="8">
        <v>8500</v>
      </c>
      <c r="H93" s="9">
        <f>F93*G93</f>
        <v>8500.0</v>
      </c>
    </row>
    <row r="94" spans="1:8" ht="24" customHeight="1">
      <c r="A94" s="5" t="s">
        <v>145</v>
      </c>
      <c r="B94" s="5"/>
      <c r="C94" s="5"/>
      <c r="D94" s="5"/>
      <c r="E94" s="5"/>
      <c r="F94" s="5"/>
      <c r="G94" s="5"/>
      <c r="H94" s="5"/>
    </row>
    <row r="95" spans="1:8" ht="68" customHeight="1">
      <c r="A95" s="6">
        <v>85</v>
      </c>
      <c r="B95" s="6" t="s">
        <v>146</v>
      </c>
      <c r="C95" s="7" t="s">
        <v>147</v>
      </c>
      <c r="E95" s="6" t="s">
        <v>80</v>
      </c>
      <c r="F95" s="6">
        <v>10</v>
      </c>
      <c r="G95" s="8">
        <v>110</v>
      </c>
      <c r="H95" s="9">
        <f>F95*G95</f>
        <v>1100.0</v>
      </c>
    </row>
    <row r="96" spans="1:8" ht="68" customHeight="1">
      <c r="A96" s="6">
        <v>86</v>
      </c>
      <c r="B96" s="6" t="s">
        <v>146</v>
      </c>
      <c r="C96" s="7" t="s">
        <v>148</v>
      </c>
      <c r="E96" s="6" t="s">
        <v>149</v>
      </c>
      <c r="F96" s="6">
        <v>10</v>
      </c>
      <c r="G96" s="8">
        <v>450</v>
      </c>
      <c r="H96" s="9">
        <f>F96*G96</f>
        <v>4500.0</v>
      </c>
    </row>
    <row r="97" spans="1:8" ht="68" customHeight="1">
      <c r="A97" s="6">
        <v>87</v>
      </c>
      <c r="B97" s="6" t="s">
        <v>146</v>
      </c>
      <c r="C97" s="7" t="s">
        <v>150</v>
      </c>
      <c r="E97" s="6" t="s">
        <v>151</v>
      </c>
      <c r="F97" s="6">
        <v>10</v>
      </c>
      <c r="G97" s="8">
        <v>450</v>
      </c>
      <c r="H97" s="9">
        <f>F97*G97</f>
        <v>4500.0</v>
      </c>
    </row>
    <row r="98" spans="1:8" ht="68" customHeight="1">
      <c r="A98" s="6">
        <v>88</v>
      </c>
      <c r="B98" s="6" t="s">
        <v>146</v>
      </c>
      <c r="C98" s="7" t="s">
        <v>152</v>
      </c>
      <c r="E98" s="6" t="s">
        <v>153</v>
      </c>
      <c r="F98" s="6">
        <v>20</v>
      </c>
      <c r="G98" s="8">
        <v>199</v>
      </c>
      <c r="H98" s="9">
        <f>F98*G98</f>
        <v>3980.0</v>
      </c>
    </row>
    <row r="99" spans="1:8" ht="68" customHeight="1">
      <c r="A99" s="6">
        <v>89</v>
      </c>
      <c r="B99" s="6" t="s">
        <v>146</v>
      </c>
      <c r="C99" s="7" t="s">
        <v>154</v>
      </c>
      <c r="E99" s="6" t="s">
        <v>155</v>
      </c>
      <c r="F99" s="6">
        <v>10</v>
      </c>
      <c r="G99" s="8">
        <v>450</v>
      </c>
      <c r="H99" s="9">
        <f>F99*G99</f>
        <v>4500.0</v>
      </c>
    </row>
    <row r="100" spans="1:8" ht="68" customHeight="1">
      <c r="A100" s="6">
        <v>90</v>
      </c>
      <c r="B100" s="6" t="s">
        <v>146</v>
      </c>
      <c r="C100" s="7" t="s">
        <v>156</v>
      </c>
      <c r="E100" s="6" t="s">
        <v>104</v>
      </c>
      <c r="F100" s="6">
        <v>10</v>
      </c>
      <c r="G100" s="8">
        <v>450</v>
      </c>
      <c r="H100" s="9">
        <f>F100*G100</f>
        <v>4500.0</v>
      </c>
    </row>
    <row r="101" spans="1:8" ht="68" customHeight="1">
      <c r="A101" s="6">
        <v>91</v>
      </c>
      <c r="B101" s="6" t="s">
        <v>146</v>
      </c>
      <c r="C101" s="7" t="s">
        <v>157</v>
      </c>
      <c r="E101" s="6" t="s">
        <v>133</v>
      </c>
      <c r="F101" s="6">
        <v>15</v>
      </c>
      <c r="G101" s="8">
        <v>199</v>
      </c>
      <c r="H101" s="9">
        <f>F101*G101</f>
        <v>2985.0</v>
      </c>
    </row>
    <row r="102" spans="1:8" ht="68" customHeight="1">
      <c r="A102" s="6">
        <v>92</v>
      </c>
      <c r="B102" s="6" t="s">
        <v>146</v>
      </c>
      <c r="C102" s="7" t="s">
        <v>158</v>
      </c>
      <c r="E102" s="6" t="s">
        <v>80</v>
      </c>
      <c r="F102" s="6">
        <v>10</v>
      </c>
      <c r="G102" s="8">
        <v>427</v>
      </c>
      <c r="H102" s="9">
        <f>F102*G102</f>
        <v>4270.0</v>
      </c>
    </row>
    <row r="103" spans="1:8" ht="68" customHeight="1">
      <c r="A103" s="6">
        <v>93</v>
      </c>
      <c r="B103" s="6" t="s">
        <v>146</v>
      </c>
      <c r="C103" s="7" t="s">
        <v>159</v>
      </c>
      <c r="E103" s="6" t="s">
        <v>115</v>
      </c>
      <c r="F103" s="6">
        <v>10</v>
      </c>
      <c r="G103" s="8">
        <v>69</v>
      </c>
      <c r="H103" s="9">
        <f>F103*G103</f>
        <v>690.0</v>
      </c>
    </row>
    <row r="104" spans="1:8" ht="68" customHeight="1">
      <c r="A104" s="6">
        <v>94</v>
      </c>
      <c r="B104" s="6" t="s">
        <v>146</v>
      </c>
      <c r="C104" s="7" t="s">
        <v>160</v>
      </c>
      <c r="E104" s="6" t="s">
        <v>133</v>
      </c>
      <c r="F104" s="6">
        <v>15</v>
      </c>
      <c r="G104" s="8">
        <v>649</v>
      </c>
      <c r="H104" s="9">
        <f>F104*G104</f>
        <v>9735.0</v>
      </c>
    </row>
    <row r="105" spans="1:8" ht="68" customHeight="1">
      <c r="A105" s="6">
        <v>95</v>
      </c>
      <c r="B105" s="6" t="s">
        <v>146</v>
      </c>
      <c r="C105" s="7" t="s">
        <v>161</v>
      </c>
      <c r="E105" s="6" t="s">
        <v>162</v>
      </c>
      <c r="F105" s="6">
        <v>1</v>
      </c>
      <c r="G105" s="8">
        <v>220</v>
      </c>
      <c r="H105" s="9">
        <f>F105*G105</f>
        <v>220.0</v>
      </c>
    </row>
    <row r="106" spans="1:8" ht="68" customHeight="1">
      <c r="A106" s="6">
        <v>96</v>
      </c>
      <c r="B106" s="6" t="s">
        <v>146</v>
      </c>
      <c r="C106" s="7" t="s">
        <v>163</v>
      </c>
      <c r="E106" s="6" t="s">
        <v>164</v>
      </c>
      <c r="F106" s="6">
        <v>10</v>
      </c>
      <c r="G106" s="8">
        <v>450</v>
      </c>
      <c r="H106" s="9">
        <f>F106*G106</f>
        <v>4500.0</v>
      </c>
    </row>
    <row r="107" spans="1:8" ht="68" customHeight="1">
      <c r="A107" s="6">
        <v>97</v>
      </c>
      <c r="B107" s="6" t="s">
        <v>146</v>
      </c>
      <c r="C107" s="7" t="s">
        <v>165</v>
      </c>
      <c r="E107" s="6" t="s">
        <v>166</v>
      </c>
      <c r="F107" s="6">
        <v>10</v>
      </c>
      <c r="G107" s="8">
        <v>169</v>
      </c>
      <c r="H107" s="9">
        <f>F107*G107</f>
        <v>1690.0</v>
      </c>
    </row>
    <row r="108" spans="1:8" ht="68" customHeight="1">
      <c r="A108" s="6">
        <v>98</v>
      </c>
      <c r="B108" s="6" t="s">
        <v>146</v>
      </c>
      <c r="C108" s="7" t="s">
        <v>167</v>
      </c>
      <c r="E108" s="6" t="s">
        <v>168</v>
      </c>
      <c r="F108" s="6">
        <v>4</v>
      </c>
      <c r="G108" s="8">
        <v>450</v>
      </c>
      <c r="H108" s="9">
        <f>F108*G108</f>
        <v>1800.0</v>
      </c>
    </row>
    <row r="109" spans="1:8" ht="68" customHeight="1">
      <c r="A109" s="6">
        <v>99</v>
      </c>
      <c r="B109" s="6" t="s">
        <v>146</v>
      </c>
      <c r="C109" s="7" t="s">
        <v>169</v>
      </c>
      <c r="D109" s="6" t="s">
        <v>23</v>
      </c>
      <c r="E109" s="6" t="s">
        <v>170</v>
      </c>
      <c r="F109" s="6">
        <v>1</v>
      </c>
      <c r="G109" s="8">
        <v>429</v>
      </c>
      <c r="H109" s="9">
        <f>F109*G109</f>
        <v>429.0</v>
      </c>
    </row>
    <row r="110" spans="1:8" ht="68" customHeight="1">
      <c r="A110" s="6">
        <v>100</v>
      </c>
      <c r="B110" s="6" t="s">
        <v>146</v>
      </c>
      <c r="C110" s="7" t="s">
        <v>171</v>
      </c>
      <c r="E110" s="6" t="s">
        <v>70</v>
      </c>
      <c r="F110" s="6">
        <v>6</v>
      </c>
      <c r="G110" s="8">
        <v>650</v>
      </c>
      <c r="H110" s="9">
        <f>F110*G110</f>
        <v>3900.0</v>
      </c>
    </row>
    <row r="111" spans="1:8" ht="68" customHeight="1">
      <c r="A111" s="6">
        <v>101</v>
      </c>
      <c r="B111" s="6" t="s">
        <v>146</v>
      </c>
      <c r="C111" s="7" t="s">
        <v>172</v>
      </c>
      <c r="E111" s="6" t="s">
        <v>48</v>
      </c>
      <c r="F111" s="6">
        <v>4</v>
      </c>
      <c r="G111" s="8">
        <v>450</v>
      </c>
      <c r="H111" s="9">
        <f>F111*G111</f>
        <v>1800.0</v>
      </c>
    </row>
    <row r="112" spans="1:8" ht="68" customHeight="1">
      <c r="A112" s="6">
        <v>102</v>
      </c>
      <c r="B112" s="6" t="s">
        <v>146</v>
      </c>
      <c r="C112" s="7" t="s">
        <v>173</v>
      </c>
      <c r="E112" s="6" t="s">
        <v>73</v>
      </c>
      <c r="F112" s="6">
        <v>8</v>
      </c>
      <c r="G112" s="8">
        <v>749</v>
      </c>
      <c r="H112" s="9">
        <f>F112*G112</f>
        <v>5992.0</v>
      </c>
    </row>
    <row r="113" spans="1:8" ht="68" customHeight="1">
      <c r="A113" s="6">
        <v>103</v>
      </c>
      <c r="B113" s="6" t="s">
        <v>146</v>
      </c>
      <c r="C113" s="7" t="s">
        <v>174</v>
      </c>
      <c r="E113" s="6" t="s">
        <v>73</v>
      </c>
      <c r="F113" s="6">
        <v>8</v>
      </c>
      <c r="G113" s="8">
        <v>450</v>
      </c>
      <c r="H113" s="9">
        <f>F113*G113</f>
        <v>3600.0</v>
      </c>
    </row>
    <row r="114" spans="1:8" ht="68" customHeight="1">
      <c r="A114" s="6">
        <v>104</v>
      </c>
      <c r="B114" s="6" t="s">
        <v>146</v>
      </c>
      <c r="C114" s="7" t="s">
        <v>175</v>
      </c>
      <c r="E114" s="6" t="s">
        <v>166</v>
      </c>
      <c r="F114" s="6">
        <v>10</v>
      </c>
      <c r="G114" s="8">
        <v>169</v>
      </c>
      <c r="H114" s="9">
        <f>F114*G114</f>
        <v>1690.0</v>
      </c>
    </row>
    <row r="115" spans="1:8" ht="24" customHeight="1">
      <c r="A115" s="5" t="s">
        <v>176</v>
      </c>
      <c r="B115" s="5"/>
      <c r="C115" s="5"/>
      <c r="D115" s="5"/>
      <c r="E115" s="5"/>
      <c r="F115" s="5"/>
      <c r="G115" s="5"/>
      <c r="H115" s="5"/>
    </row>
    <row r="116" spans="1:8" ht="68" customHeight="1">
      <c r="A116" s="6">
        <v>105</v>
      </c>
      <c r="B116" s="6" t="s">
        <v>177</v>
      </c>
      <c r="C116" s="7" t="s">
        <v>178</v>
      </c>
      <c r="E116" s="6" t="s">
        <v>179</v>
      </c>
      <c r="F116" s="6">
        <v>1</v>
      </c>
      <c r="G116" s="8">
        <v>399</v>
      </c>
      <c r="H116" s="9">
        <f>F116*G116</f>
        <v>399.0</v>
      </c>
    </row>
    <row r="117" spans="1:8" ht="68" customHeight="1">
      <c r="A117" s="6">
        <v>106</v>
      </c>
      <c r="B117" s="6" t="s">
        <v>177</v>
      </c>
      <c r="C117" s="7" t="s">
        <v>180</v>
      </c>
      <c r="E117" s="6" t="s">
        <v>181</v>
      </c>
      <c r="F117" s="6">
        <v>500</v>
      </c>
      <c r="G117" s="8">
        <v>359</v>
      </c>
      <c r="H117" s="9">
        <f>F117*G117</f>
        <v>179500.0</v>
      </c>
    </row>
    <row r="118" spans="1:8" ht="68" customHeight="1">
      <c r="A118" s="6">
        <v>107</v>
      </c>
      <c r="B118" s="6" t="s">
        <v>177</v>
      </c>
      <c r="C118" s="7" t="s">
        <v>182</v>
      </c>
      <c r="E118" s="6" t="s">
        <v>183</v>
      </c>
      <c r="F118" s="6">
        <v>100</v>
      </c>
      <c r="G118" s="8">
        <v>134</v>
      </c>
      <c r="H118" s="9">
        <f>F118*G118</f>
        <v>13400.0</v>
      </c>
    </row>
    <row r="119" spans="1:8" ht="68" customHeight="1">
      <c r="A119" s="6">
        <v>108</v>
      </c>
      <c r="B119" s="6" t="s">
        <v>177</v>
      </c>
      <c r="C119" s="7" t="s">
        <v>184</v>
      </c>
      <c r="E119" s="6" t="s">
        <v>185</v>
      </c>
      <c r="F119" s="6">
        <v>50</v>
      </c>
      <c r="G119" s="8">
        <v>190</v>
      </c>
      <c r="H119" s="9">
        <f>F119*G119</f>
        <v>9500.0</v>
      </c>
    </row>
    <row r="120" spans="1:8" ht="68" customHeight="1">
      <c r="A120" s="6">
        <v>109</v>
      </c>
      <c r="B120" s="6" t="s">
        <v>177</v>
      </c>
      <c r="C120" s="7" t="s">
        <v>186</v>
      </c>
      <c r="E120" s="6" t="s">
        <v>187</v>
      </c>
      <c r="F120" s="6">
        <v>100</v>
      </c>
      <c r="G120" s="8">
        <v>190</v>
      </c>
      <c r="H120" s="9">
        <f>F120*G120</f>
        <v>19000.0</v>
      </c>
    </row>
    <row r="121" spans="1:8" ht="68" customHeight="1">
      <c r="A121" s="6">
        <v>110</v>
      </c>
      <c r="B121" s="6" t="s">
        <v>177</v>
      </c>
      <c r="C121" s="7" t="s">
        <v>188</v>
      </c>
      <c r="D121" s="6" t="s">
        <v>23</v>
      </c>
      <c r="E121" s="6" t="s">
        <v>189</v>
      </c>
      <c r="F121" s="6">
        <v>2</v>
      </c>
      <c r="G121" s="8">
        <v>190</v>
      </c>
      <c r="H121" s="9">
        <f>F121*G121</f>
        <v>380.0</v>
      </c>
    </row>
    <row r="122" spans="1:8" ht="68" customHeight="1">
      <c r="A122" s="6">
        <v>111</v>
      </c>
      <c r="B122" s="6" t="s">
        <v>177</v>
      </c>
      <c r="C122" s="7" t="s">
        <v>190</v>
      </c>
      <c r="E122" s="6" t="s">
        <v>191</v>
      </c>
      <c r="F122" s="6">
        <v>100</v>
      </c>
      <c r="G122" s="8">
        <v>359</v>
      </c>
      <c r="H122" s="9">
        <f>F122*G122</f>
        <v>35900.0</v>
      </c>
    </row>
    <row r="123" spans="1:8" ht="68" customHeight="1">
      <c r="A123" s="6">
        <v>112</v>
      </c>
      <c r="B123" s="6" t="s">
        <v>177</v>
      </c>
      <c r="C123" s="7" t="s">
        <v>192</v>
      </c>
      <c r="E123" s="6" t="s">
        <v>193</v>
      </c>
      <c r="F123" s="6">
        <v>100</v>
      </c>
      <c r="G123" s="8">
        <v>359</v>
      </c>
      <c r="H123" s="9">
        <f>F123*G123</f>
        <v>35900.0</v>
      </c>
    </row>
    <row r="124" spans="1:8" ht="68" customHeight="1">
      <c r="A124" s="6">
        <v>113</v>
      </c>
      <c r="B124" s="6" t="s">
        <v>177</v>
      </c>
      <c r="C124" s="7" t="s">
        <v>194</v>
      </c>
      <c r="D124" s="6" t="s">
        <v>23</v>
      </c>
      <c r="E124" s="6" t="s">
        <v>195</v>
      </c>
      <c r="F124" s="6">
        <v>20</v>
      </c>
      <c r="G124" s="8">
        <v>649</v>
      </c>
      <c r="H124" s="9">
        <f>F124*G124</f>
        <v>12980.0</v>
      </c>
    </row>
    <row r="125" spans="1:8" ht="68" customHeight="1">
      <c r="A125" s="6">
        <v>114</v>
      </c>
      <c r="B125" s="6" t="s">
        <v>177</v>
      </c>
      <c r="C125" s="7" t="s">
        <v>196</v>
      </c>
      <c r="E125" s="6" t="s">
        <v>197</v>
      </c>
      <c r="F125" s="6">
        <v>20</v>
      </c>
      <c r="G125" s="8">
        <v>190</v>
      </c>
      <c r="H125" s="9">
        <f>F125*G125</f>
        <v>3800.0</v>
      </c>
    </row>
    <row r="126" spans="1:8" ht="68" customHeight="1">
      <c r="A126" s="6">
        <v>115</v>
      </c>
      <c r="B126" s="6" t="s">
        <v>177</v>
      </c>
      <c r="C126" s="7" t="s">
        <v>198</v>
      </c>
      <c r="E126" s="6" t="s">
        <v>199</v>
      </c>
      <c r="F126" s="6">
        <v>80</v>
      </c>
      <c r="G126" s="8">
        <v>429</v>
      </c>
      <c r="H126" s="9">
        <f>F126*G126</f>
        <v>34320.0</v>
      </c>
    </row>
    <row r="127" spans="1:8" ht="68" customHeight="1">
      <c r="A127" s="6">
        <v>116</v>
      </c>
      <c r="B127" s="6" t="s">
        <v>177</v>
      </c>
      <c r="C127" s="7" t="s">
        <v>200</v>
      </c>
      <c r="E127" s="6" t="s">
        <v>201</v>
      </c>
      <c r="F127" s="6">
        <v>20</v>
      </c>
      <c r="G127" s="8">
        <v>427</v>
      </c>
      <c r="H127" s="9">
        <f>F127*G127</f>
        <v>8540.0</v>
      </c>
    </row>
    <row r="128" spans="1:8" ht="68" customHeight="1">
      <c r="A128" s="6">
        <v>117</v>
      </c>
      <c r="B128" s="6" t="s">
        <v>177</v>
      </c>
      <c r="C128" s="7" t="s">
        <v>202</v>
      </c>
      <c r="E128" s="6" t="s">
        <v>77</v>
      </c>
      <c r="F128" s="6">
        <v>40</v>
      </c>
      <c r="G128" s="8">
        <v>190</v>
      </c>
      <c r="H128" s="9">
        <f>F128*G128</f>
        <v>7600.0</v>
      </c>
    </row>
    <row r="129" spans="1:8" ht="68" customHeight="1">
      <c r="A129" s="6">
        <v>118</v>
      </c>
      <c r="B129" s="6" t="s">
        <v>177</v>
      </c>
      <c r="C129" s="7" t="s">
        <v>203</v>
      </c>
      <c r="E129" s="6" t="s">
        <v>77</v>
      </c>
      <c r="F129" s="6">
        <v>40</v>
      </c>
      <c r="G129" s="8">
        <v>779</v>
      </c>
      <c r="H129" s="9">
        <f>F129*G129</f>
        <v>31160.0</v>
      </c>
    </row>
    <row r="130" spans="1:8" ht="68" customHeight="1">
      <c r="A130" s="6">
        <v>119</v>
      </c>
      <c r="B130" s="6" t="s">
        <v>177</v>
      </c>
      <c r="C130" s="7" t="s">
        <v>204</v>
      </c>
      <c r="E130" s="6" t="s">
        <v>205</v>
      </c>
      <c r="F130" s="6">
        <v>40</v>
      </c>
      <c r="G130" s="8">
        <v>134</v>
      </c>
      <c r="H130" s="9">
        <f>F130*G130</f>
        <v>5360.0</v>
      </c>
    </row>
    <row r="131" spans="1:8" ht="68" customHeight="1">
      <c r="A131" s="6">
        <v>120</v>
      </c>
      <c r="B131" s="6" t="s">
        <v>177</v>
      </c>
      <c r="C131" s="7" t="s">
        <v>206</v>
      </c>
      <c r="E131" s="6" t="s">
        <v>207</v>
      </c>
      <c r="F131" s="6">
        <v>20</v>
      </c>
      <c r="G131" s="8">
        <v>79</v>
      </c>
      <c r="H131" s="9">
        <f>F131*G131</f>
        <v>1580.0</v>
      </c>
    </row>
    <row r="132" spans="1:8" ht="68" customHeight="1">
      <c r="A132" s="6">
        <v>121</v>
      </c>
      <c r="B132" s="6" t="s">
        <v>177</v>
      </c>
      <c r="C132" s="7" t="s">
        <v>208</v>
      </c>
      <c r="E132" s="6" t="s">
        <v>209</v>
      </c>
      <c r="F132" s="6">
        <v>20</v>
      </c>
      <c r="G132" s="8">
        <v>499</v>
      </c>
      <c r="H132" s="9">
        <f>F132*G132</f>
        <v>9980.0</v>
      </c>
    </row>
    <row r="133" spans="1:8" ht="68" customHeight="1">
      <c r="A133" s="6">
        <v>122</v>
      </c>
      <c r="B133" s="6" t="s">
        <v>177</v>
      </c>
      <c r="C133" s="7" t="s">
        <v>210</v>
      </c>
      <c r="E133" s="6" t="s">
        <v>80</v>
      </c>
      <c r="F133" s="6">
        <v>10</v>
      </c>
      <c r="G133" s="8">
        <v>79</v>
      </c>
      <c r="H133" s="9">
        <f>F133*G133</f>
        <v>790.0</v>
      </c>
    </row>
    <row r="134" spans="1:8" ht="68" customHeight="1">
      <c r="A134" s="6">
        <v>123</v>
      </c>
      <c r="B134" s="6" t="s">
        <v>177</v>
      </c>
      <c r="C134" s="7" t="s">
        <v>211</v>
      </c>
      <c r="E134" s="6" t="s">
        <v>212</v>
      </c>
      <c r="F134" s="6">
        <v>20</v>
      </c>
      <c r="G134" s="8">
        <v>190</v>
      </c>
      <c r="H134" s="9">
        <f>F134*G134</f>
        <v>3800.0</v>
      </c>
    </row>
    <row r="135" spans="1:8" ht="68" customHeight="1">
      <c r="A135" s="6">
        <v>124</v>
      </c>
      <c r="B135" s="6" t="s">
        <v>177</v>
      </c>
      <c r="C135" s="7" t="s">
        <v>213</v>
      </c>
      <c r="E135" s="6" t="s">
        <v>209</v>
      </c>
      <c r="F135" s="6">
        <v>20</v>
      </c>
      <c r="G135" s="8">
        <v>499</v>
      </c>
      <c r="H135" s="9">
        <f>F135*G135</f>
        <v>9980.0</v>
      </c>
    </row>
    <row r="136" spans="1:8" ht="68" customHeight="1">
      <c r="A136" s="6">
        <v>125</v>
      </c>
      <c r="B136" s="6" t="s">
        <v>177</v>
      </c>
      <c r="C136" s="7" t="s">
        <v>214</v>
      </c>
      <c r="E136" s="6" t="s">
        <v>215</v>
      </c>
      <c r="F136" s="6">
        <v>100</v>
      </c>
      <c r="G136" s="8">
        <v>134</v>
      </c>
      <c r="H136" s="9">
        <f>F136*G136</f>
        <v>13400.0</v>
      </c>
    </row>
    <row r="137" spans="1:8" ht="68" customHeight="1">
      <c r="A137" s="6">
        <v>126</v>
      </c>
      <c r="B137" s="6" t="s">
        <v>177</v>
      </c>
      <c r="C137" s="7" t="s">
        <v>216</v>
      </c>
      <c r="E137" s="6" t="s">
        <v>217</v>
      </c>
      <c r="F137" s="6">
        <v>100</v>
      </c>
      <c r="G137" s="8">
        <v>134</v>
      </c>
      <c r="H137" s="9">
        <f>F137*G137</f>
        <v>13400.0</v>
      </c>
    </row>
    <row r="138" spans="1:8" ht="68" customHeight="1">
      <c r="A138" s="6">
        <v>127</v>
      </c>
      <c r="B138" s="6" t="s">
        <v>177</v>
      </c>
      <c r="C138" s="7" t="s">
        <v>218</v>
      </c>
      <c r="E138" s="6" t="s">
        <v>219</v>
      </c>
      <c r="F138" s="6">
        <v>500</v>
      </c>
      <c r="G138" s="8">
        <v>190</v>
      </c>
      <c r="H138" s="9">
        <f>F138*G138</f>
        <v>95000.0</v>
      </c>
    </row>
    <row r="139" spans="1:8" ht="68" customHeight="1">
      <c r="A139" s="6">
        <v>128</v>
      </c>
      <c r="B139" s="6" t="s">
        <v>177</v>
      </c>
      <c r="C139" s="7" t="s">
        <v>220</v>
      </c>
      <c r="E139" s="6" t="s">
        <v>221</v>
      </c>
      <c r="F139" s="6">
        <v>1</v>
      </c>
      <c r="G139" s="8">
        <v>190</v>
      </c>
      <c r="H139" s="9">
        <f>F139*G139</f>
        <v>190.0</v>
      </c>
    </row>
    <row r="140" spans="1:8" ht="68" customHeight="1">
      <c r="A140" s="6">
        <v>129</v>
      </c>
      <c r="B140" s="6" t="s">
        <v>177</v>
      </c>
      <c r="C140" s="7" t="s">
        <v>222</v>
      </c>
      <c r="E140" s="6" t="s">
        <v>223</v>
      </c>
      <c r="F140" s="6">
        <v>200</v>
      </c>
      <c r="G140" s="8">
        <v>225</v>
      </c>
      <c r="H140" s="9">
        <f>F140*G140</f>
        <v>45000.0</v>
      </c>
    </row>
    <row r="141" spans="1:8" ht="68" customHeight="1">
      <c r="A141" s="6">
        <v>130</v>
      </c>
      <c r="B141" s="6" t="s">
        <v>177</v>
      </c>
      <c r="C141" s="7" t="s">
        <v>224</v>
      </c>
      <c r="E141" s="6" t="s">
        <v>219</v>
      </c>
      <c r="F141" s="6">
        <v>500</v>
      </c>
      <c r="G141" s="8">
        <v>134</v>
      </c>
      <c r="H141" s="9">
        <f>F141*G141</f>
        <v>67000.0</v>
      </c>
    </row>
    <row r="142" spans="1:8" ht="68" customHeight="1">
      <c r="A142" s="6">
        <v>131</v>
      </c>
      <c r="B142" s="6" t="s">
        <v>177</v>
      </c>
      <c r="C142" s="7" t="s">
        <v>225</v>
      </c>
      <c r="E142" s="6" t="s">
        <v>219</v>
      </c>
      <c r="F142" s="6">
        <v>500</v>
      </c>
      <c r="G142" s="8">
        <v>220</v>
      </c>
      <c r="H142" s="9">
        <f>F142*G142</f>
        <v>110000.0</v>
      </c>
    </row>
    <row r="143" spans="1:8" ht="68" customHeight="1">
      <c r="A143" s="6">
        <v>132</v>
      </c>
      <c r="B143" s="6" t="s">
        <v>177</v>
      </c>
      <c r="C143" s="7" t="s">
        <v>226</v>
      </c>
      <c r="E143" s="6" t="s">
        <v>227</v>
      </c>
      <c r="F143" s="6">
        <v>1</v>
      </c>
      <c r="G143" s="8">
        <v>190</v>
      </c>
      <c r="H143" s="9">
        <f>F143*G143</f>
        <v>190.0</v>
      </c>
    </row>
    <row r="144" spans="1:8" ht="68" customHeight="1">
      <c r="A144" s="6">
        <v>133</v>
      </c>
      <c r="B144" s="6" t="s">
        <v>177</v>
      </c>
      <c r="C144" s="7" t="s">
        <v>228</v>
      </c>
      <c r="E144" s="6" t="s">
        <v>229</v>
      </c>
      <c r="F144" s="6">
        <v>10</v>
      </c>
      <c r="G144" s="8">
        <v>249</v>
      </c>
      <c r="H144" s="9">
        <f>F144*G144</f>
        <v>2490.0</v>
      </c>
    </row>
    <row r="145" spans="1:8" ht="68" customHeight="1">
      <c r="A145" s="6">
        <v>134</v>
      </c>
      <c r="B145" s="6" t="s">
        <v>177</v>
      </c>
      <c r="C145" s="7" t="s">
        <v>230</v>
      </c>
      <c r="E145" s="6" t="s">
        <v>227</v>
      </c>
      <c r="F145" s="6">
        <v>1</v>
      </c>
      <c r="G145" s="8">
        <v>190</v>
      </c>
      <c r="H145" s="9">
        <f>F145*G145</f>
        <v>190.0</v>
      </c>
    </row>
    <row r="146" spans="1:8" ht="68" customHeight="1">
      <c r="A146" s="6">
        <v>135</v>
      </c>
      <c r="B146" s="6" t="s">
        <v>177</v>
      </c>
      <c r="C146" s="7" t="s">
        <v>231</v>
      </c>
      <c r="E146" s="6" t="s">
        <v>232</v>
      </c>
      <c r="F146" s="6">
        <v>10</v>
      </c>
      <c r="G146" s="8">
        <v>359</v>
      </c>
      <c r="H146" s="9">
        <f>F146*G146</f>
        <v>3590.0</v>
      </c>
    </row>
    <row r="147" spans="1:8" ht="68" customHeight="1">
      <c r="A147" s="6">
        <v>136</v>
      </c>
      <c r="B147" s="6" t="s">
        <v>177</v>
      </c>
      <c r="C147" s="7" t="s">
        <v>233</v>
      </c>
      <c r="E147" s="6" t="s">
        <v>183</v>
      </c>
      <c r="F147" s="6">
        <v>100</v>
      </c>
      <c r="G147" s="8">
        <v>3289</v>
      </c>
      <c r="H147" s="9">
        <f>F147*G147</f>
        <v>328900.0</v>
      </c>
    </row>
    <row r="148" spans="1:8" ht="68" customHeight="1">
      <c r="A148" s="6">
        <v>137</v>
      </c>
      <c r="B148" s="6" t="s">
        <v>177</v>
      </c>
      <c r="C148" s="7" t="s">
        <v>234</v>
      </c>
      <c r="E148" s="6" t="s">
        <v>235</v>
      </c>
      <c r="F148" s="6">
        <v>20</v>
      </c>
      <c r="G148" s="8">
        <v>169</v>
      </c>
      <c r="H148" s="9">
        <f>F148*G148</f>
        <v>3380.0</v>
      </c>
    </row>
    <row r="149" spans="1:8" ht="68" customHeight="1">
      <c r="A149" s="6">
        <v>138</v>
      </c>
      <c r="B149" s="6" t="s">
        <v>177</v>
      </c>
      <c r="C149" s="7" t="s">
        <v>236</v>
      </c>
      <c r="E149" s="6" t="s">
        <v>237</v>
      </c>
      <c r="F149" s="6">
        <v>20</v>
      </c>
      <c r="G149" s="8">
        <v>169</v>
      </c>
      <c r="H149" s="9">
        <f>F149*G149</f>
        <v>3380.0</v>
      </c>
    </row>
    <row r="150" spans="1:8" ht="68" customHeight="1">
      <c r="A150" s="6">
        <v>139</v>
      </c>
      <c r="B150" s="6" t="s">
        <v>177</v>
      </c>
      <c r="C150" s="7" t="s">
        <v>238</v>
      </c>
      <c r="E150" s="6" t="s">
        <v>239</v>
      </c>
      <c r="F150" s="6">
        <v>10</v>
      </c>
      <c r="G150" s="8">
        <v>699</v>
      </c>
      <c r="H150" s="9">
        <f>F150*G150</f>
        <v>6990.0</v>
      </c>
    </row>
    <row r="151" spans="1:8" ht="68" customHeight="1">
      <c r="A151" s="6">
        <v>140</v>
      </c>
      <c r="B151" s="6" t="s">
        <v>177</v>
      </c>
      <c r="C151" s="7" t="s">
        <v>240</v>
      </c>
      <c r="E151" s="6" t="s">
        <v>201</v>
      </c>
      <c r="F151" s="6">
        <v>20</v>
      </c>
      <c r="G151" s="8">
        <v>190</v>
      </c>
      <c r="H151" s="9">
        <f>F151*G151</f>
        <v>3800.0</v>
      </c>
    </row>
    <row r="152" spans="1:8" ht="68" customHeight="1">
      <c r="A152" s="6">
        <v>141</v>
      </c>
      <c r="B152" s="6" t="s">
        <v>177</v>
      </c>
      <c r="C152" s="7" t="s">
        <v>241</v>
      </c>
      <c r="E152" s="6" t="s">
        <v>68</v>
      </c>
      <c r="F152" s="6">
        <v>40</v>
      </c>
      <c r="G152" s="8">
        <v>160</v>
      </c>
      <c r="H152" s="9">
        <f>F152*G152</f>
        <v>6400.0</v>
      </c>
    </row>
    <row r="153" spans="1:8" ht="68" customHeight="1">
      <c r="A153" s="6">
        <v>142</v>
      </c>
      <c r="B153" s="6" t="s">
        <v>177</v>
      </c>
      <c r="C153" s="7" t="s">
        <v>242</v>
      </c>
      <c r="E153" s="6" t="s">
        <v>243</v>
      </c>
      <c r="F153" s="6">
        <v>20</v>
      </c>
      <c r="G153" s="8">
        <v>190</v>
      </c>
      <c r="H153" s="9">
        <f>F153*G153</f>
        <v>3800.0</v>
      </c>
    </row>
    <row r="154" spans="1:8" ht="68" customHeight="1">
      <c r="A154" s="6">
        <v>143</v>
      </c>
      <c r="B154" s="6" t="s">
        <v>177</v>
      </c>
      <c r="C154" s="7" t="s">
        <v>244</v>
      </c>
      <c r="E154" s="6" t="s">
        <v>212</v>
      </c>
      <c r="F154" s="6">
        <v>20</v>
      </c>
      <c r="G154" s="8">
        <v>190</v>
      </c>
      <c r="H154" s="9">
        <f>F154*G154</f>
        <v>3800.0</v>
      </c>
    </row>
    <row r="155" spans="1:8" ht="68" customHeight="1">
      <c r="A155" s="6">
        <v>144</v>
      </c>
      <c r="B155" s="6" t="s">
        <v>177</v>
      </c>
      <c r="C155" s="7" t="s">
        <v>245</v>
      </c>
      <c r="E155" s="6" t="s">
        <v>41</v>
      </c>
      <c r="F155" s="6">
        <v>2</v>
      </c>
      <c r="G155" s="8">
        <v>190</v>
      </c>
      <c r="H155" s="9">
        <f>F155*G155</f>
        <v>380.0</v>
      </c>
    </row>
    <row r="156" spans="1:8" ht="24" customHeight="1">
      <c r="A156" s="5" t="s">
        <v>246</v>
      </c>
      <c r="B156" s="5"/>
      <c r="C156" s="5"/>
      <c r="D156" s="5"/>
      <c r="E156" s="5"/>
      <c r="F156" s="5"/>
      <c r="G156" s="5"/>
      <c r="H156" s="5"/>
    </row>
    <row r="157" spans="1:8" ht="68" customHeight="1">
      <c r="A157" s="6">
        <v>145</v>
      </c>
      <c r="B157" s="6" t="s">
        <v>247</v>
      </c>
      <c r="C157" s="7" t="s">
        <v>248</v>
      </c>
      <c r="E157" s="6" t="s">
        <v>249</v>
      </c>
      <c r="F157" s="6">
        <v>8</v>
      </c>
      <c r="G157" s="8">
        <v>134</v>
      </c>
      <c r="H157" s="9">
        <f>F157*G157</f>
        <v>1072.0</v>
      </c>
    </row>
    <row r="158" spans="1:8" ht="68" customHeight="1">
      <c r="A158" s="6">
        <v>146</v>
      </c>
      <c r="B158" s="6" t="s">
        <v>247</v>
      </c>
      <c r="C158" s="7" t="s">
        <v>250</v>
      </c>
      <c r="E158" s="6" t="s">
        <v>251</v>
      </c>
      <c r="F158" s="6">
        <v>1</v>
      </c>
      <c r="G158" s="8">
        <v>4500</v>
      </c>
      <c r="H158" s="9">
        <f>F158*G158</f>
        <v>4500.0</v>
      </c>
    </row>
    <row r="159" spans="1:8" ht="68" customHeight="1">
      <c r="A159" s="6">
        <v>147</v>
      </c>
      <c r="B159" s="6" t="s">
        <v>247</v>
      </c>
      <c r="C159" s="7" t="s">
        <v>252</v>
      </c>
      <c r="E159" s="6" t="s">
        <v>253</v>
      </c>
      <c r="F159" s="6">
        <v>1</v>
      </c>
      <c r="G159" s="8">
        <v>37045</v>
      </c>
      <c r="H159" s="9">
        <f>F159*G159</f>
        <v>37045.0</v>
      </c>
    </row>
    <row r="160" spans="1:8" ht="68" customHeight="1">
      <c r="A160" s="6">
        <v>148</v>
      </c>
      <c r="B160" s="6" t="s">
        <v>247</v>
      </c>
      <c r="C160" s="7" t="s">
        <v>254</v>
      </c>
      <c r="E160" s="6" t="s">
        <v>255</v>
      </c>
      <c r="F160" s="6">
        <v>5</v>
      </c>
      <c r="G160" s="8">
        <v>798</v>
      </c>
      <c r="H160" s="9">
        <f>F160*G160</f>
        <v>3990.0</v>
      </c>
    </row>
    <row r="161" spans="1:8" ht="68" customHeight="1">
      <c r="A161" s="6">
        <v>149</v>
      </c>
      <c r="B161" s="6" t="s">
        <v>247</v>
      </c>
      <c r="C161" s="7" t="s">
        <v>256</v>
      </c>
      <c r="E161" s="6" t="s">
        <v>257</v>
      </c>
      <c r="F161" s="6">
        <v>1</v>
      </c>
      <c r="G161" s="8">
        <v>429</v>
      </c>
      <c r="H161" s="9">
        <f>F161*G161</f>
        <v>429.0</v>
      </c>
    </row>
    <row r="162" spans="1:8" ht="68" customHeight="1">
      <c r="A162" s="6">
        <v>150</v>
      </c>
      <c r="B162" s="6" t="s">
        <v>247</v>
      </c>
      <c r="C162" s="7" t="s">
        <v>258</v>
      </c>
      <c r="E162" s="6" t="s">
        <v>259</v>
      </c>
      <c r="F162" s="6">
        <v>4</v>
      </c>
      <c r="G162" s="8">
        <v>14499</v>
      </c>
      <c r="H162" s="9">
        <f>F162*G162</f>
        <v>57996.0</v>
      </c>
    </row>
    <row r="163" spans="1:8" ht="68" customHeight="1">
      <c r="A163" s="6">
        <v>151</v>
      </c>
      <c r="B163" s="6" t="s">
        <v>247</v>
      </c>
      <c r="C163" s="7" t="s">
        <v>260</v>
      </c>
      <c r="E163" s="6" t="s">
        <v>73</v>
      </c>
      <c r="F163" s="6">
        <v>8</v>
      </c>
      <c r="G163" s="8">
        <v>359</v>
      </c>
      <c r="H163" s="9">
        <f>F163*G163</f>
        <v>2872.0</v>
      </c>
    </row>
    <row r="164" spans="1:8" ht="68" customHeight="1">
      <c r="A164" s="6">
        <v>152</v>
      </c>
      <c r="B164" s="6" t="s">
        <v>247</v>
      </c>
      <c r="C164" s="7" t="s">
        <v>261</v>
      </c>
      <c r="E164" s="6" t="s">
        <v>24</v>
      </c>
      <c r="F164" s="6">
        <v>1</v>
      </c>
      <c r="G164" s="8">
        <v>1250</v>
      </c>
      <c r="H164" s="9">
        <f>F164*G164</f>
        <v>1250.0</v>
      </c>
    </row>
    <row r="165" spans="1:8" ht="68" customHeight="1">
      <c r="A165" s="6">
        <v>153</v>
      </c>
      <c r="B165" s="6" t="s">
        <v>247</v>
      </c>
      <c r="C165" s="7" t="s">
        <v>262</v>
      </c>
      <c r="E165" s="6" t="s">
        <v>115</v>
      </c>
      <c r="F165" s="6">
        <v>10</v>
      </c>
      <c r="G165" s="8">
        <v>4500</v>
      </c>
      <c r="H165" s="9">
        <f>F165*G165</f>
        <v>45000.0</v>
      </c>
    </row>
    <row r="166" spans="1:8" ht="68" customHeight="1">
      <c r="A166" s="6">
        <v>154</v>
      </c>
      <c r="B166" s="6" t="s">
        <v>247</v>
      </c>
      <c r="C166" s="7" t="s">
        <v>263</v>
      </c>
      <c r="E166" s="6" t="s">
        <v>73</v>
      </c>
      <c r="F166" s="6">
        <v>8</v>
      </c>
      <c r="G166" s="8">
        <v>359</v>
      </c>
      <c r="H166" s="9">
        <f>F166*G166</f>
        <v>2872.0</v>
      </c>
    </row>
    <row r="167" spans="1:8" ht="24" customHeight="1">
      <c r="A167" s="5" t="s">
        <v>264</v>
      </c>
      <c r="B167" s="5"/>
      <c r="C167" s="5"/>
      <c r="D167" s="5"/>
      <c r="E167" s="5"/>
      <c r="F167" s="5"/>
      <c r="G167" s="5"/>
      <c r="H167" s="5"/>
    </row>
    <row r="168" spans="1:8" ht="68" customHeight="1">
      <c r="A168" s="6">
        <v>155</v>
      </c>
      <c r="B168" s="6" t="s">
        <v>265</v>
      </c>
      <c r="C168" s="7" t="s">
        <v>266</v>
      </c>
      <c r="E168" s="6" t="s">
        <v>133</v>
      </c>
      <c r="F168" s="6">
        <v>15</v>
      </c>
      <c r="G168" s="8">
        <v>1745</v>
      </c>
      <c r="H168" s="9">
        <f>F168*G168</f>
        <v>26175.0</v>
      </c>
    </row>
    <row r="169" spans="1:8" ht="68" customHeight="1">
      <c r="A169" s="6">
        <v>156</v>
      </c>
      <c r="B169" s="6" t="s">
        <v>265</v>
      </c>
      <c r="C169" s="7" t="s">
        <v>267</v>
      </c>
      <c r="E169" s="6" t="s">
        <v>48</v>
      </c>
      <c r="F169" s="6">
        <v>4</v>
      </c>
      <c r="G169" s="8">
        <v>850</v>
      </c>
      <c r="H169" s="9">
        <f>F169*G169</f>
        <v>3400.0</v>
      </c>
    </row>
    <row r="170" spans="1:8" ht="68" customHeight="1">
      <c r="A170" s="6">
        <v>157</v>
      </c>
      <c r="B170" s="6" t="s">
        <v>265</v>
      </c>
      <c r="C170" s="7" t="s">
        <v>268</v>
      </c>
      <c r="E170" s="6" t="s">
        <v>41</v>
      </c>
      <c r="F170" s="6">
        <v>2</v>
      </c>
      <c r="G170" s="8">
        <v>14499</v>
      </c>
      <c r="H170" s="9">
        <f>F170*G170</f>
        <v>28998.0</v>
      </c>
    </row>
    <row r="171" spans="1:8" ht="68" customHeight="1">
      <c r="A171" s="6">
        <v>158</v>
      </c>
      <c r="B171" s="6" t="s">
        <v>265</v>
      </c>
      <c r="C171" s="7" t="s">
        <v>269</v>
      </c>
      <c r="E171" s="6" t="s">
        <v>48</v>
      </c>
      <c r="F171" s="6">
        <v>4</v>
      </c>
      <c r="G171" s="8">
        <v>850</v>
      </c>
      <c r="H171" s="9">
        <f>F171*G171</f>
        <v>3400.0</v>
      </c>
    </row>
    <row r="172" spans="1:8" ht="68" customHeight="1">
      <c r="A172" s="6">
        <v>159</v>
      </c>
      <c r="B172" s="6" t="s">
        <v>265</v>
      </c>
      <c r="C172" s="7" t="s">
        <v>270</v>
      </c>
      <c r="E172" s="6" t="s">
        <v>104</v>
      </c>
      <c r="F172" s="6">
        <v>10</v>
      </c>
      <c r="G172" s="8">
        <v>850</v>
      </c>
      <c r="H172" s="9">
        <f>F172*G172</f>
        <v>8500.0</v>
      </c>
    </row>
    <row r="173" spans="1:8" ht="68" customHeight="1">
      <c r="A173" s="6">
        <v>160</v>
      </c>
      <c r="B173" s="6" t="s">
        <v>265</v>
      </c>
      <c r="C173" s="7" t="s">
        <v>271</v>
      </c>
      <c r="E173" s="6" t="s">
        <v>272</v>
      </c>
      <c r="F173" s="6">
        <v>10</v>
      </c>
      <c r="G173" s="8">
        <v>850</v>
      </c>
      <c r="H173" s="9">
        <f>F173*G173</f>
        <v>8500.0</v>
      </c>
    </row>
    <row r="174" spans="1:8" ht="68" customHeight="1">
      <c r="A174" s="6">
        <v>161</v>
      </c>
      <c r="B174" s="6" t="s">
        <v>265</v>
      </c>
      <c r="C174" s="7" t="s">
        <v>273</v>
      </c>
      <c r="E174" s="6" t="s">
        <v>274</v>
      </c>
      <c r="F174" s="6">
        <v>15</v>
      </c>
      <c r="G174" s="8">
        <v>850</v>
      </c>
      <c r="H174" s="9">
        <f>F174*G174</f>
        <v>12750.0</v>
      </c>
    </row>
    <row r="175" spans="1:8" ht="68" customHeight="1">
      <c r="A175" s="6">
        <v>162</v>
      </c>
      <c r="B175" s="6" t="s">
        <v>265</v>
      </c>
      <c r="C175" s="7" t="s">
        <v>275</v>
      </c>
      <c r="D175" s="6" t="s">
        <v>23</v>
      </c>
      <c r="E175" s="6" t="s">
        <v>272</v>
      </c>
      <c r="F175" s="6">
        <v>10</v>
      </c>
      <c r="G175" s="8">
        <v>850</v>
      </c>
      <c r="H175" s="9">
        <f>F175*G175</f>
        <v>8500.0</v>
      </c>
    </row>
    <row r="176" spans="1:8" ht="68" customHeight="1">
      <c r="A176" s="6">
        <v>163</v>
      </c>
      <c r="B176" s="6" t="s">
        <v>265</v>
      </c>
      <c r="C176" s="7" t="s">
        <v>276</v>
      </c>
      <c r="E176" s="6" t="s">
        <v>133</v>
      </c>
      <c r="F176" s="6">
        <v>15</v>
      </c>
      <c r="G176" s="8">
        <v>850</v>
      </c>
      <c r="H176" s="9">
        <f>F176*G176</f>
        <v>12750.0</v>
      </c>
    </row>
    <row r="177" spans="1:8" ht="68" customHeight="1">
      <c r="A177" s="6">
        <v>164</v>
      </c>
      <c r="B177" s="6" t="s">
        <v>265</v>
      </c>
      <c r="C177" s="7" t="s">
        <v>277</v>
      </c>
      <c r="E177" s="6" t="s">
        <v>41</v>
      </c>
      <c r="F177" s="6">
        <v>2</v>
      </c>
      <c r="G177" s="8">
        <v>309</v>
      </c>
      <c r="H177" s="9">
        <f>F177*G177</f>
        <v>618.0</v>
      </c>
    </row>
    <row r="178" spans="1:8" ht="68" customHeight="1">
      <c r="A178" s="6">
        <v>165</v>
      </c>
      <c r="B178" s="6" t="s">
        <v>265</v>
      </c>
      <c r="C178" s="7" t="s">
        <v>278</v>
      </c>
      <c r="D178" s="6" t="s">
        <v>23</v>
      </c>
      <c r="E178" s="6" t="s">
        <v>115</v>
      </c>
      <c r="F178" s="6">
        <v>10</v>
      </c>
      <c r="G178" s="8">
        <v>359</v>
      </c>
      <c r="H178" s="9">
        <f>F178*G178</f>
        <v>3590.0</v>
      </c>
    </row>
    <row r="179" spans="1:8" ht="68" customHeight="1">
      <c r="A179" s="6">
        <v>166</v>
      </c>
      <c r="B179" s="6" t="s">
        <v>265</v>
      </c>
      <c r="C179" s="7" t="s">
        <v>279</v>
      </c>
      <c r="D179" s="6" t="s">
        <v>23</v>
      </c>
      <c r="E179" s="6" t="s">
        <v>272</v>
      </c>
      <c r="F179" s="6">
        <v>10</v>
      </c>
      <c r="G179" s="8">
        <v>850</v>
      </c>
      <c r="H179" s="9">
        <f>F179*G179</f>
        <v>8500.0</v>
      </c>
    </row>
    <row r="180" spans="1:8" ht="68" customHeight="1">
      <c r="A180" s="6">
        <v>167</v>
      </c>
      <c r="B180" s="6" t="s">
        <v>265</v>
      </c>
      <c r="C180" s="7" t="s">
        <v>280</v>
      </c>
      <c r="E180" s="6" t="s">
        <v>272</v>
      </c>
      <c r="F180" s="6">
        <v>10</v>
      </c>
      <c r="G180" s="8">
        <v>850</v>
      </c>
      <c r="H180" s="9">
        <f>F180*G180</f>
        <v>8500.0</v>
      </c>
    </row>
    <row r="181" spans="1:8" ht="68" customHeight="1">
      <c r="A181" s="6">
        <v>168</v>
      </c>
      <c r="B181" s="6" t="s">
        <v>265</v>
      </c>
      <c r="C181" s="7" t="s">
        <v>281</v>
      </c>
      <c r="E181" s="6" t="s">
        <v>104</v>
      </c>
      <c r="F181" s="6">
        <v>10</v>
      </c>
      <c r="G181" s="8">
        <v>850</v>
      </c>
      <c r="H181" s="9">
        <f>F181*G181</f>
        <v>8500.0</v>
      </c>
    </row>
    <row r="182" spans="1:8" ht="68" customHeight="1">
      <c r="A182" s="6">
        <v>169</v>
      </c>
      <c r="B182" s="6" t="s">
        <v>265</v>
      </c>
      <c r="C182" s="7" t="s">
        <v>282</v>
      </c>
      <c r="E182" s="6" t="s">
        <v>283</v>
      </c>
      <c r="F182" s="6">
        <v>10</v>
      </c>
      <c r="G182" s="8">
        <v>14499</v>
      </c>
      <c r="H182" s="9">
        <f>F182*G182</f>
        <v>144990.0</v>
      </c>
    </row>
    <row r="183" spans="1:8" ht="68" customHeight="1">
      <c r="A183" s="6">
        <v>170</v>
      </c>
      <c r="B183" s="6" t="s">
        <v>265</v>
      </c>
      <c r="C183" s="7" t="s">
        <v>284</v>
      </c>
      <c r="E183" s="6" t="s">
        <v>104</v>
      </c>
      <c r="F183" s="6">
        <v>10</v>
      </c>
      <c r="G183" s="8">
        <v>1060</v>
      </c>
      <c r="H183" s="9">
        <f>F183*G183</f>
        <v>10600.0</v>
      </c>
    </row>
    <row r="184" spans="1:8" ht="68" customHeight="1">
      <c r="A184" s="6">
        <v>171</v>
      </c>
      <c r="B184" s="6" t="s">
        <v>265</v>
      </c>
      <c r="C184" s="7" t="s">
        <v>285</v>
      </c>
      <c r="E184" s="6" t="s">
        <v>286</v>
      </c>
      <c r="F184" s="6">
        <v>40</v>
      </c>
      <c r="G184" s="8">
        <v>1060</v>
      </c>
      <c r="H184" s="9">
        <f>F184*G184</f>
        <v>42400.0</v>
      </c>
    </row>
    <row r="185" spans="1:8" ht="68" customHeight="1">
      <c r="A185" s="6">
        <v>172</v>
      </c>
      <c r="B185" s="6" t="s">
        <v>265</v>
      </c>
      <c r="C185" s="7" t="s">
        <v>287</v>
      </c>
      <c r="E185" s="6" t="s">
        <v>288</v>
      </c>
      <c r="F185" s="6">
        <v>30</v>
      </c>
      <c r="G185" s="8">
        <v>850</v>
      </c>
      <c r="H185" s="9">
        <f>F185*G185</f>
        <v>25500.0</v>
      </c>
    </row>
    <row r="186" spans="1:8" ht="68" customHeight="1">
      <c r="A186" s="6">
        <v>173</v>
      </c>
      <c r="B186" s="6" t="s">
        <v>265</v>
      </c>
      <c r="C186" s="7" t="s">
        <v>289</v>
      </c>
      <c r="E186" s="6" t="s">
        <v>201</v>
      </c>
      <c r="F186" s="6">
        <v>20</v>
      </c>
      <c r="G186" s="8">
        <v>850</v>
      </c>
      <c r="H186" s="9">
        <f>F186*G186</f>
        <v>17000.0</v>
      </c>
    </row>
    <row r="187" spans="1:8" ht="68" customHeight="1">
      <c r="A187" s="6">
        <v>174</v>
      </c>
      <c r="B187" s="6" t="s">
        <v>265</v>
      </c>
      <c r="C187" s="7" t="s">
        <v>290</v>
      </c>
      <c r="E187" s="6" t="s">
        <v>201</v>
      </c>
      <c r="F187" s="6">
        <v>20</v>
      </c>
      <c r="G187" s="8">
        <v>850</v>
      </c>
      <c r="H187" s="9">
        <f>F187*G187</f>
        <v>17000.0</v>
      </c>
    </row>
    <row r="188" spans="1:8" ht="68" customHeight="1">
      <c r="A188" s="6">
        <v>175</v>
      </c>
      <c r="B188" s="6" t="s">
        <v>265</v>
      </c>
      <c r="C188" s="7" t="s">
        <v>102</v>
      </c>
      <c r="E188" s="6" t="s">
        <v>48</v>
      </c>
      <c r="F188" s="6">
        <v>4</v>
      </c>
      <c r="G188" s="8">
        <v>14499</v>
      </c>
      <c r="H188" s="9">
        <f>F188*G188</f>
        <v>57996.0</v>
      </c>
    </row>
    <row r="189" spans="1:8" ht="68" customHeight="1">
      <c r="A189" s="6">
        <v>176</v>
      </c>
      <c r="B189" s="6" t="s">
        <v>265</v>
      </c>
      <c r="C189" s="7" t="s">
        <v>291</v>
      </c>
      <c r="E189" s="6" t="s">
        <v>283</v>
      </c>
      <c r="F189" s="6">
        <v>10</v>
      </c>
      <c r="G189" s="8">
        <v>850</v>
      </c>
      <c r="H189" s="9">
        <f>F189*G189</f>
        <v>8500.0</v>
      </c>
    </row>
    <row r="190" spans="1:8" ht="68" customHeight="1">
      <c r="A190" s="6">
        <v>177</v>
      </c>
      <c r="B190" s="6" t="s">
        <v>265</v>
      </c>
      <c r="C190" s="7" t="s">
        <v>292</v>
      </c>
      <c r="E190" s="6" t="s">
        <v>70</v>
      </c>
      <c r="F190" s="6">
        <v>6</v>
      </c>
      <c r="G190" s="8">
        <v>749</v>
      </c>
      <c r="H190" s="9">
        <f>F190*G190</f>
        <v>4494.0</v>
      </c>
    </row>
    <row r="191" spans="1:8" ht="68" customHeight="1">
      <c r="A191" s="6">
        <v>178</v>
      </c>
      <c r="B191" s="6" t="s">
        <v>265</v>
      </c>
      <c r="C191" s="7" t="s">
        <v>293</v>
      </c>
      <c r="E191" s="6" t="s">
        <v>70</v>
      </c>
      <c r="F191" s="6">
        <v>6</v>
      </c>
      <c r="G191" s="8">
        <v>850</v>
      </c>
      <c r="H191" s="9">
        <f>F191*G191</f>
        <v>5100.0</v>
      </c>
    </row>
    <row r="192" spans="1:8" ht="68" customHeight="1">
      <c r="A192" s="6">
        <v>179</v>
      </c>
      <c r="B192" s="6" t="s">
        <v>265</v>
      </c>
      <c r="C192" s="7" t="s">
        <v>294</v>
      </c>
      <c r="E192" s="6" t="s">
        <v>70</v>
      </c>
      <c r="F192" s="6">
        <v>6</v>
      </c>
      <c r="G192" s="8">
        <v>850</v>
      </c>
      <c r="H192" s="9">
        <f>F192*G192</f>
        <v>5100.0</v>
      </c>
    </row>
    <row r="193" spans="1:8" ht="68" customHeight="1">
      <c r="A193" s="6">
        <v>180</v>
      </c>
      <c r="B193" s="6" t="s">
        <v>265</v>
      </c>
      <c r="C193" s="7" t="s">
        <v>295</v>
      </c>
      <c r="D193" s="6" t="s">
        <v>23</v>
      </c>
      <c r="E193" s="6" t="s">
        <v>48</v>
      </c>
      <c r="F193" s="6">
        <v>4</v>
      </c>
      <c r="G193" s="8">
        <v>850</v>
      </c>
      <c r="H193" s="9">
        <f>F193*G193</f>
        <v>3400.0</v>
      </c>
    </row>
    <row r="194" spans="1:8" ht="68" customHeight="1">
      <c r="A194" s="6">
        <v>181</v>
      </c>
      <c r="B194" s="6" t="s">
        <v>265</v>
      </c>
      <c r="C194" s="7" t="s">
        <v>296</v>
      </c>
      <c r="E194" s="6" t="s">
        <v>24</v>
      </c>
      <c r="F194" s="6">
        <v>1</v>
      </c>
      <c r="G194" s="8">
        <v>6500</v>
      </c>
      <c r="H194" s="9">
        <f>F194*G194</f>
        <v>6500.0</v>
      </c>
    </row>
    <row r="195" spans="1:8" ht="68" customHeight="1">
      <c r="A195" s="6">
        <v>182</v>
      </c>
      <c r="B195" s="6" t="s">
        <v>265</v>
      </c>
      <c r="C195" s="7" t="s">
        <v>297</v>
      </c>
      <c r="E195" s="6" t="s">
        <v>41</v>
      </c>
      <c r="F195" s="6">
        <v>2</v>
      </c>
      <c r="G195" s="8">
        <v>850</v>
      </c>
      <c r="H195" s="9">
        <f>F195*G195</f>
        <v>1700.0</v>
      </c>
    </row>
    <row r="196" spans="1:8" ht="68" customHeight="1">
      <c r="A196" s="6">
        <v>183</v>
      </c>
      <c r="B196" s="6" t="s">
        <v>265</v>
      </c>
      <c r="C196" s="7" t="s">
        <v>298</v>
      </c>
      <c r="E196" s="6" t="s">
        <v>41</v>
      </c>
      <c r="F196" s="6">
        <v>2</v>
      </c>
      <c r="G196" s="8">
        <v>850</v>
      </c>
      <c r="H196" s="9">
        <f>F196*G196</f>
        <v>1700.0</v>
      </c>
    </row>
    <row r="197" spans="1:8" ht="68" customHeight="1">
      <c r="A197" s="6">
        <v>184</v>
      </c>
      <c r="B197" s="6" t="s">
        <v>265</v>
      </c>
      <c r="C197" s="7" t="s">
        <v>299</v>
      </c>
      <c r="E197" s="6" t="s">
        <v>21</v>
      </c>
      <c r="F197" s="6">
        <v>1</v>
      </c>
      <c r="G197" s="8">
        <v>499</v>
      </c>
      <c r="H197" s="9">
        <f>F197*G197</f>
        <v>499.0</v>
      </c>
    </row>
    <row r="198" spans="1:8" ht="68" customHeight="1">
      <c r="A198" s="6">
        <v>185</v>
      </c>
      <c r="B198" s="6" t="s">
        <v>265</v>
      </c>
      <c r="C198" s="7" t="s">
        <v>300</v>
      </c>
      <c r="E198" s="6" t="s">
        <v>21</v>
      </c>
      <c r="F198" s="6">
        <v>1</v>
      </c>
      <c r="G198" s="8">
        <v>499</v>
      </c>
      <c r="H198" s="9">
        <f>F198*G198</f>
        <v>499.0</v>
      </c>
    </row>
    <row r="199" spans="1:8" ht="68" customHeight="1">
      <c r="A199" s="6">
        <v>186</v>
      </c>
      <c r="B199" s="6" t="s">
        <v>265</v>
      </c>
      <c r="C199" s="7" t="s">
        <v>301</v>
      </c>
      <c r="E199" s="6" t="s">
        <v>104</v>
      </c>
      <c r="F199" s="6">
        <v>10</v>
      </c>
      <c r="G199" s="8">
        <v>850</v>
      </c>
      <c r="H199" s="9">
        <f>F199*G199</f>
        <v>8500.0</v>
      </c>
    </row>
    <row r="200" spans="1:8" ht="68" customHeight="1">
      <c r="A200" s="6">
        <v>187</v>
      </c>
      <c r="B200" s="6" t="s">
        <v>265</v>
      </c>
      <c r="C200" s="7" t="s">
        <v>302</v>
      </c>
      <c r="E200" s="6" t="s">
        <v>122</v>
      </c>
      <c r="F200" s="6">
        <v>4</v>
      </c>
      <c r="G200" s="8">
        <v>850</v>
      </c>
      <c r="H200" s="9">
        <f>F200*G200</f>
        <v>3400.0</v>
      </c>
    </row>
    <row r="201" spans="1:8" ht="68" customHeight="1">
      <c r="A201" s="6">
        <v>188</v>
      </c>
      <c r="B201" s="6" t="s">
        <v>265</v>
      </c>
      <c r="C201" s="7" t="s">
        <v>303</v>
      </c>
      <c r="E201" s="6" t="s">
        <v>283</v>
      </c>
      <c r="F201" s="6">
        <v>10</v>
      </c>
      <c r="G201" s="8">
        <v>850</v>
      </c>
      <c r="H201" s="9">
        <f>F201*G201</f>
        <v>8500.0</v>
      </c>
    </row>
    <row r="202" spans="1:8" ht="68" customHeight="1">
      <c r="A202" s="6">
        <v>189</v>
      </c>
      <c r="B202" s="6" t="s">
        <v>265</v>
      </c>
      <c r="C202" s="7" t="s">
        <v>304</v>
      </c>
      <c r="E202" s="6" t="s">
        <v>70</v>
      </c>
      <c r="F202" s="6">
        <v>6</v>
      </c>
      <c r="G202" s="8">
        <v>850</v>
      </c>
      <c r="H202" s="9">
        <f>F202*G202</f>
        <v>5100.0</v>
      </c>
    </row>
    <row r="203" spans="1:8" ht="68" customHeight="1">
      <c r="A203" s="6">
        <v>190</v>
      </c>
      <c r="B203" s="6" t="s">
        <v>265</v>
      </c>
      <c r="C203" s="7" t="s">
        <v>305</v>
      </c>
      <c r="E203" s="6" t="s">
        <v>48</v>
      </c>
      <c r="F203" s="6">
        <v>4</v>
      </c>
      <c r="G203" s="8">
        <v>850</v>
      </c>
      <c r="H203" s="9">
        <f>F203*G203</f>
        <v>3400.0</v>
      </c>
    </row>
    <row r="204" spans="1:8" ht="68" customHeight="1">
      <c r="A204" s="6">
        <v>191</v>
      </c>
      <c r="B204" s="6" t="s">
        <v>265</v>
      </c>
      <c r="C204" s="7" t="s">
        <v>306</v>
      </c>
      <c r="E204" s="6" t="s">
        <v>70</v>
      </c>
      <c r="F204" s="6">
        <v>6</v>
      </c>
      <c r="G204" s="8">
        <v>850</v>
      </c>
      <c r="H204" s="9">
        <f>F204*G204</f>
        <v>5100.0</v>
      </c>
    </row>
    <row r="205" spans="1:8" ht="68" customHeight="1">
      <c r="A205" s="6">
        <v>192</v>
      </c>
      <c r="B205" s="6" t="s">
        <v>265</v>
      </c>
      <c r="C205" s="7" t="s">
        <v>307</v>
      </c>
      <c r="D205" s="6" t="s">
        <v>23</v>
      </c>
      <c r="E205" s="6" t="s">
        <v>70</v>
      </c>
      <c r="F205" s="6">
        <v>6</v>
      </c>
      <c r="G205" s="8">
        <v>850</v>
      </c>
      <c r="H205" s="9">
        <f>F205*G205</f>
        <v>5100.0</v>
      </c>
    </row>
    <row r="206" spans="1:8" ht="68" customHeight="1">
      <c r="A206" s="6">
        <v>193</v>
      </c>
      <c r="B206" s="6" t="s">
        <v>265</v>
      </c>
      <c r="C206" s="7" t="s">
        <v>308</v>
      </c>
      <c r="E206" s="6" t="s">
        <v>70</v>
      </c>
      <c r="F206" s="6">
        <v>6</v>
      </c>
      <c r="G206" s="8">
        <v>850</v>
      </c>
      <c r="H206" s="9">
        <f>F206*G206</f>
        <v>5100.0</v>
      </c>
    </row>
    <row r="207" spans="1:8" ht="68" customHeight="1">
      <c r="A207" s="6">
        <v>194</v>
      </c>
      <c r="B207" s="6" t="s">
        <v>265</v>
      </c>
      <c r="C207" s="7" t="s">
        <v>309</v>
      </c>
      <c r="E207" s="6" t="s">
        <v>133</v>
      </c>
      <c r="F207" s="6">
        <v>15</v>
      </c>
      <c r="G207" s="8">
        <v>749</v>
      </c>
      <c r="H207" s="9">
        <f>F207*G207</f>
        <v>11235.0</v>
      </c>
    </row>
    <row r="208" spans="1:8" ht="24" customHeight="1">
      <c r="A208" s="5" t="s">
        <v>310</v>
      </c>
      <c r="B208" s="5"/>
      <c r="C208" s="5"/>
      <c r="D208" s="5"/>
      <c r="E208" s="5"/>
      <c r="F208" s="5"/>
      <c r="G208" s="5"/>
      <c r="H208" s="5"/>
    </row>
    <row r="209" spans="1:8" ht="68" customHeight="1">
      <c r="A209" s="6">
        <v>195</v>
      </c>
      <c r="B209" s="6" t="s">
        <v>311</v>
      </c>
      <c r="C209" s="7" t="s">
        <v>312</v>
      </c>
      <c r="E209" s="6" t="s">
        <v>115</v>
      </c>
      <c r="F209" s="6">
        <v>10</v>
      </c>
      <c r="G209" s="8">
        <v>399</v>
      </c>
      <c r="H209" s="9">
        <f>F209*G209</f>
        <v>3990.0</v>
      </c>
    </row>
    <row r="210" spans="1:8" ht="68" customHeight="1">
      <c r="A210" s="6">
        <v>196</v>
      </c>
      <c r="B210" s="6" t="s">
        <v>311</v>
      </c>
      <c r="C210" s="7" t="s">
        <v>313</v>
      </c>
      <c r="E210" s="6" t="s">
        <v>115</v>
      </c>
      <c r="F210" s="6">
        <v>10</v>
      </c>
      <c r="G210" s="8">
        <v>399</v>
      </c>
      <c r="H210" s="9">
        <f>F210*G210</f>
        <v>3990.0</v>
      </c>
    </row>
    <row r="211" spans="1:8" ht="68" customHeight="1">
      <c r="A211" s="6">
        <v>197</v>
      </c>
      <c r="B211" s="6" t="s">
        <v>311</v>
      </c>
      <c r="C211" s="7" t="s">
        <v>314</v>
      </c>
      <c r="E211" s="6" t="s">
        <v>112</v>
      </c>
      <c r="F211" s="6">
        <v>8</v>
      </c>
      <c r="G211" s="8">
        <v>399</v>
      </c>
      <c r="H211" s="9">
        <f>F211*G211</f>
        <v>3192.0</v>
      </c>
    </row>
    <row r="212" spans="1:8" ht="68" customHeight="1">
      <c r="A212" s="6">
        <v>198</v>
      </c>
      <c r="B212" s="6" t="s">
        <v>311</v>
      </c>
      <c r="C212" s="7" t="s">
        <v>315</v>
      </c>
      <c r="E212" s="6" t="s">
        <v>112</v>
      </c>
      <c r="F212" s="6">
        <v>8</v>
      </c>
      <c r="G212" s="8">
        <v>7406</v>
      </c>
      <c r="H212" s="9">
        <f>F212*G212</f>
        <v>59248.0</v>
      </c>
    </row>
    <row r="213" spans="1:8" ht="68" customHeight="1">
      <c r="A213" s="6">
        <v>199</v>
      </c>
      <c r="B213" s="6" t="s">
        <v>311</v>
      </c>
      <c r="C213" s="7" t="s">
        <v>316</v>
      </c>
      <c r="D213" s="6" t="s">
        <v>23</v>
      </c>
      <c r="E213" s="6" t="s">
        <v>115</v>
      </c>
      <c r="F213" s="6">
        <v>10</v>
      </c>
      <c r="G213" s="8">
        <v>580</v>
      </c>
      <c r="H213" s="9">
        <f>F213*G213</f>
        <v>5800.0</v>
      </c>
    </row>
    <row r="214" spans="1:8" ht="68" customHeight="1">
      <c r="A214" s="6">
        <v>200</v>
      </c>
      <c r="B214" s="6" t="s">
        <v>311</v>
      </c>
      <c r="C214" s="7" t="s">
        <v>317</v>
      </c>
      <c r="D214" s="6" t="s">
        <v>23</v>
      </c>
      <c r="E214" s="6" t="s">
        <v>112</v>
      </c>
      <c r="F214" s="6">
        <v>8</v>
      </c>
      <c r="G214" s="8">
        <v>188.37</v>
      </c>
      <c r="H214" s="9">
        <f>F214*G214</f>
        <v>1506.96</v>
      </c>
    </row>
    <row r="215" spans="1:8" ht="68" customHeight="1">
      <c r="A215" s="6">
        <v>201</v>
      </c>
      <c r="B215" s="6" t="s">
        <v>311</v>
      </c>
      <c r="C215" s="7" t="s">
        <v>318</v>
      </c>
      <c r="E215" s="6" t="s">
        <v>112</v>
      </c>
      <c r="F215" s="6">
        <v>8</v>
      </c>
      <c r="G215" s="8">
        <v>429</v>
      </c>
      <c r="H215" s="9">
        <f>F215*G215</f>
        <v>3432.0</v>
      </c>
    </row>
    <row r="216" spans="1:8" ht="68" customHeight="1">
      <c r="A216" s="6">
        <v>202</v>
      </c>
      <c r="B216" s="6" t="s">
        <v>311</v>
      </c>
      <c r="C216" s="7" t="s">
        <v>319</v>
      </c>
      <c r="D216" s="6" t="s">
        <v>23</v>
      </c>
      <c r="E216" s="6" t="s">
        <v>272</v>
      </c>
      <c r="F216" s="6">
        <v>10</v>
      </c>
      <c r="G216" s="8">
        <v>429</v>
      </c>
      <c r="H216" s="9">
        <f>F216*G216</f>
        <v>4290.0</v>
      </c>
    </row>
    <row r="217" spans="1:8" ht="68" customHeight="1">
      <c r="A217" s="6">
        <v>203</v>
      </c>
      <c r="B217" s="6" t="s">
        <v>311</v>
      </c>
      <c r="C217" s="7" t="s">
        <v>320</v>
      </c>
      <c r="E217" s="6" t="s">
        <v>115</v>
      </c>
      <c r="F217" s="6">
        <v>10</v>
      </c>
      <c r="G217" s="8">
        <v>188.37</v>
      </c>
      <c r="H217" s="9">
        <f>F217*G217</f>
        <v>1883.7</v>
      </c>
    </row>
    <row r="218" spans="1:8" ht="68" customHeight="1">
      <c r="A218" s="6">
        <v>204</v>
      </c>
      <c r="B218" s="6" t="s">
        <v>311</v>
      </c>
      <c r="C218" s="7" t="s">
        <v>321</v>
      </c>
      <c r="E218" s="6" t="s">
        <v>120</v>
      </c>
      <c r="F218" s="6">
        <v>6</v>
      </c>
      <c r="G218" s="8">
        <v>309</v>
      </c>
      <c r="H218" s="9">
        <f>F218*G218</f>
        <v>1854.0</v>
      </c>
    </row>
    <row r="219" spans="1:8" ht="68" customHeight="1">
      <c r="A219" s="6">
        <v>205</v>
      </c>
      <c r="B219" s="6" t="s">
        <v>311</v>
      </c>
      <c r="C219" s="7" t="s">
        <v>322</v>
      </c>
      <c r="E219" s="6" t="s">
        <v>112</v>
      </c>
      <c r="F219" s="6">
        <v>8</v>
      </c>
      <c r="G219" s="8">
        <v>580</v>
      </c>
      <c r="H219" s="9">
        <f>F219*G219</f>
        <v>4640.0</v>
      </c>
    </row>
    <row r="220" spans="1:8" ht="68" customHeight="1">
      <c r="A220" s="6">
        <v>206</v>
      </c>
      <c r="B220" s="6" t="s">
        <v>311</v>
      </c>
      <c r="C220" s="7" t="s">
        <v>323</v>
      </c>
      <c r="E220" s="6" t="s">
        <v>219</v>
      </c>
      <c r="F220" s="6">
        <v>500</v>
      </c>
      <c r="G220" s="8">
        <v>580</v>
      </c>
      <c r="H220" s="9">
        <f>F220*G220</f>
        <v>290000.0</v>
      </c>
    </row>
    <row r="221" spans="1:8" ht="68" customHeight="1">
      <c r="A221" s="6">
        <v>207</v>
      </c>
      <c r="B221" s="6" t="s">
        <v>311</v>
      </c>
      <c r="C221" s="7" t="s">
        <v>324</v>
      </c>
      <c r="E221" s="6" t="s">
        <v>239</v>
      </c>
      <c r="F221" s="6">
        <v>10</v>
      </c>
      <c r="G221" s="8">
        <v>580</v>
      </c>
      <c r="H221" s="9">
        <f>F221*G221</f>
        <v>5800.0</v>
      </c>
    </row>
    <row r="222" spans="1:8" ht="68" customHeight="1">
      <c r="A222" s="6">
        <v>208</v>
      </c>
      <c r="B222" s="6" t="s">
        <v>311</v>
      </c>
      <c r="C222" s="7" t="s">
        <v>325</v>
      </c>
      <c r="E222" s="6" t="s">
        <v>164</v>
      </c>
      <c r="F222" s="6">
        <v>10</v>
      </c>
      <c r="G222" s="8">
        <v>580</v>
      </c>
      <c r="H222" s="9">
        <f>F222*G222</f>
        <v>5800.0</v>
      </c>
    </row>
    <row r="223" spans="1:8" ht="68" customHeight="1">
      <c r="A223" s="6">
        <v>209</v>
      </c>
      <c r="B223" s="6" t="s">
        <v>311</v>
      </c>
      <c r="C223" s="7" t="s">
        <v>326</v>
      </c>
      <c r="E223" s="6" t="s">
        <v>223</v>
      </c>
      <c r="F223" s="6">
        <v>200</v>
      </c>
      <c r="G223" s="8">
        <v>79</v>
      </c>
      <c r="H223" s="9">
        <f>F223*G223</f>
        <v>15800.0</v>
      </c>
    </row>
    <row r="224" spans="1:8" ht="68" customHeight="1">
      <c r="A224" s="6">
        <v>210</v>
      </c>
      <c r="B224" s="6" t="s">
        <v>311</v>
      </c>
      <c r="C224" s="7" t="s">
        <v>327</v>
      </c>
      <c r="D224" s="6" t="s">
        <v>23</v>
      </c>
      <c r="E224" s="6" t="s">
        <v>328</v>
      </c>
      <c r="F224" s="6">
        <v>100</v>
      </c>
      <c r="G224" s="8">
        <v>399</v>
      </c>
      <c r="H224" s="9">
        <f>F224*G224</f>
        <v>39900.0</v>
      </c>
    </row>
    <row r="225" spans="1:8" ht="68" customHeight="1">
      <c r="A225" s="6">
        <v>211</v>
      </c>
      <c r="B225" s="6" t="s">
        <v>311</v>
      </c>
      <c r="C225" s="7" t="s">
        <v>329</v>
      </c>
      <c r="E225" s="6" t="s">
        <v>35</v>
      </c>
      <c r="F225" s="6">
        <v>30</v>
      </c>
      <c r="G225" s="8">
        <v>134</v>
      </c>
      <c r="H225" s="9">
        <f>F225*G225</f>
        <v>4020.0</v>
      </c>
    </row>
    <row r="226" spans="1:8" ht="68" customHeight="1">
      <c r="A226" s="6">
        <v>212</v>
      </c>
      <c r="B226" s="6" t="s">
        <v>311</v>
      </c>
      <c r="C226" s="7" t="s">
        <v>330</v>
      </c>
      <c r="E226" s="6" t="s">
        <v>331</v>
      </c>
      <c r="F226" s="6">
        <v>30</v>
      </c>
      <c r="G226" s="8">
        <v>1745</v>
      </c>
      <c r="H226" s="9">
        <f>F226*G226</f>
        <v>52350.0</v>
      </c>
    </row>
    <row r="227" spans="1:8" ht="68" customHeight="1">
      <c r="A227" s="6">
        <v>213</v>
      </c>
      <c r="B227" s="6" t="s">
        <v>311</v>
      </c>
      <c r="C227" s="7" t="s">
        <v>332</v>
      </c>
      <c r="E227" s="6" t="s">
        <v>333</v>
      </c>
      <c r="F227" s="6">
        <v>10</v>
      </c>
      <c r="G227" s="8">
        <v>134</v>
      </c>
      <c r="H227" s="9">
        <f>F227*G227</f>
        <v>1340.0</v>
      </c>
    </row>
    <row r="228" spans="1:8" ht="68" customHeight="1">
      <c r="A228" s="6">
        <v>214</v>
      </c>
      <c r="B228" s="6" t="s">
        <v>311</v>
      </c>
      <c r="C228" s="7" t="s">
        <v>334</v>
      </c>
      <c r="E228" s="6" t="s">
        <v>35</v>
      </c>
      <c r="F228" s="6">
        <v>30</v>
      </c>
      <c r="G228" s="8">
        <v>580</v>
      </c>
      <c r="H228" s="9">
        <f>F228*G228</f>
        <v>17400.0</v>
      </c>
    </row>
    <row r="229" spans="1:8" ht="68" customHeight="1">
      <c r="A229" s="6">
        <v>215</v>
      </c>
      <c r="B229" s="6" t="s">
        <v>311</v>
      </c>
      <c r="C229" s="7" t="s">
        <v>335</v>
      </c>
      <c r="E229" s="6" t="s">
        <v>112</v>
      </c>
      <c r="F229" s="6">
        <v>8</v>
      </c>
      <c r="G229" s="8">
        <v>349.99</v>
      </c>
      <c r="H229" s="9">
        <f>F229*G229</f>
        <v>2799.92</v>
      </c>
    </row>
    <row r="230" spans="1:8" ht="68" customHeight="1">
      <c r="A230" s="6">
        <v>216</v>
      </c>
      <c r="B230" s="6" t="s">
        <v>311</v>
      </c>
      <c r="C230" s="7" t="s">
        <v>336</v>
      </c>
      <c r="E230" s="6" t="s">
        <v>337</v>
      </c>
      <c r="F230" s="6">
        <v>100</v>
      </c>
      <c r="G230" s="8">
        <v>199</v>
      </c>
      <c r="H230" s="9">
        <f>F230*G230</f>
        <v>19900.0</v>
      </c>
    </row>
    <row r="231" spans="1:8" ht="68" customHeight="1">
      <c r="A231" s="6">
        <v>217</v>
      </c>
      <c r="B231" s="6" t="s">
        <v>311</v>
      </c>
      <c r="C231" s="7" t="s">
        <v>338</v>
      </c>
      <c r="E231" s="6" t="s">
        <v>339</v>
      </c>
      <c r="F231" s="6">
        <v>10</v>
      </c>
      <c r="G231" s="8">
        <v>580</v>
      </c>
      <c r="H231" s="9">
        <f>F231*G231</f>
        <v>5800.0</v>
      </c>
    </row>
    <row r="232" spans="1:8" ht="68" customHeight="1">
      <c r="A232" s="6">
        <v>218</v>
      </c>
      <c r="B232" s="6" t="s">
        <v>311</v>
      </c>
      <c r="C232" s="7" t="s">
        <v>340</v>
      </c>
      <c r="E232" s="6" t="s">
        <v>341</v>
      </c>
      <c r="F232" s="6">
        <v>1</v>
      </c>
      <c r="G232" s="8">
        <v>580</v>
      </c>
      <c r="H232" s="9">
        <f>F232*G232</f>
        <v>580.0</v>
      </c>
    </row>
    <row r="233" spans="1:8" ht="68" customHeight="1">
      <c r="A233" s="6">
        <v>219</v>
      </c>
      <c r="B233" s="6" t="s">
        <v>311</v>
      </c>
      <c r="C233" s="7" t="s">
        <v>86</v>
      </c>
      <c r="E233" s="6" t="s">
        <v>80</v>
      </c>
      <c r="F233" s="6">
        <v>10</v>
      </c>
      <c r="G233" s="8">
        <v>169</v>
      </c>
      <c r="H233" s="9">
        <f>F233*G233</f>
        <v>1690.0</v>
      </c>
    </row>
    <row r="234" spans="1:8" ht="68" customHeight="1">
      <c r="A234" s="6">
        <v>220</v>
      </c>
      <c r="B234" s="6" t="s">
        <v>311</v>
      </c>
      <c r="C234" s="7" t="s">
        <v>342</v>
      </c>
      <c r="E234" s="6" t="s">
        <v>104</v>
      </c>
      <c r="F234" s="6">
        <v>10</v>
      </c>
      <c r="G234" s="8">
        <v>580</v>
      </c>
      <c r="H234" s="9">
        <f>F234*G234</f>
        <v>5800.0</v>
      </c>
    </row>
    <row r="235" spans="1:8" ht="68" customHeight="1">
      <c r="A235" s="6">
        <v>221</v>
      </c>
      <c r="B235" s="6" t="s">
        <v>311</v>
      </c>
      <c r="C235" s="7" t="s">
        <v>343</v>
      </c>
      <c r="E235" s="6" t="s">
        <v>239</v>
      </c>
      <c r="F235" s="6">
        <v>10</v>
      </c>
      <c r="G235" s="8">
        <v>359</v>
      </c>
      <c r="H235" s="9">
        <f>F235*G235</f>
        <v>3590.0</v>
      </c>
    </row>
    <row r="236" spans="1:8" ht="68" customHeight="1">
      <c r="A236" s="6">
        <v>222</v>
      </c>
      <c r="B236" s="6" t="s">
        <v>311</v>
      </c>
      <c r="C236" s="7" t="s">
        <v>344</v>
      </c>
      <c r="E236" s="6" t="s">
        <v>166</v>
      </c>
      <c r="F236" s="6">
        <v>10</v>
      </c>
      <c r="G236" s="8">
        <v>359</v>
      </c>
      <c r="H236" s="9">
        <f>F236*G236</f>
        <v>3590.0</v>
      </c>
    </row>
    <row r="237" spans="1:8" ht="68" customHeight="1">
      <c r="A237" s="6">
        <v>223</v>
      </c>
      <c r="B237" s="6" t="s">
        <v>311</v>
      </c>
      <c r="C237" s="7" t="s">
        <v>345</v>
      </c>
      <c r="E237" s="6" t="s">
        <v>346</v>
      </c>
      <c r="F237" s="6">
        <v>10</v>
      </c>
      <c r="G237" s="8">
        <v>499</v>
      </c>
      <c r="H237" s="9">
        <f>F237*G237</f>
        <v>4990.0</v>
      </c>
    </row>
    <row r="238" spans="1:8" ht="68" customHeight="1">
      <c r="A238" s="6">
        <v>224</v>
      </c>
      <c r="B238" s="6" t="s">
        <v>311</v>
      </c>
      <c r="C238" s="7" t="s">
        <v>347</v>
      </c>
      <c r="D238" s="6" t="s">
        <v>23</v>
      </c>
      <c r="E238" s="6" t="s">
        <v>115</v>
      </c>
      <c r="F238" s="6">
        <v>10</v>
      </c>
      <c r="G238" s="8">
        <v>359</v>
      </c>
      <c r="H238" s="9">
        <f>F238*G238</f>
        <v>3590.0</v>
      </c>
    </row>
    <row r="239" spans="1:8" ht="24" customHeight="1">
      <c r="A239" s="5" t="s">
        <v>348</v>
      </c>
      <c r="B239" s="5"/>
      <c r="C239" s="5"/>
      <c r="D239" s="5"/>
      <c r="E239" s="5"/>
      <c r="F239" s="5"/>
      <c r="G239" s="5"/>
      <c r="H239" s="5"/>
    </row>
    <row r="240" spans="1:8" ht="68" customHeight="1">
      <c r="A240" s="6">
        <v>225</v>
      </c>
      <c r="B240" s="6" t="s">
        <v>349</v>
      </c>
      <c r="C240" s="7" t="s">
        <v>350</v>
      </c>
      <c r="E240" s="6" t="s">
        <v>115</v>
      </c>
      <c r="F240" s="6">
        <v>10</v>
      </c>
      <c r="G240" s="8">
        <v>399</v>
      </c>
      <c r="H240" s="9">
        <f>F240*G240</f>
        <v>3990.0</v>
      </c>
    </row>
    <row r="241" spans="1:8" ht="68" customHeight="1">
      <c r="A241" s="6">
        <v>226</v>
      </c>
      <c r="B241" s="6" t="s">
        <v>349</v>
      </c>
      <c r="C241" s="7" t="s">
        <v>351</v>
      </c>
      <c r="E241" s="6" t="s">
        <v>115</v>
      </c>
      <c r="F241" s="6">
        <v>10</v>
      </c>
      <c r="G241" s="8">
        <v>165</v>
      </c>
      <c r="H241" s="9">
        <f>F241*G241</f>
        <v>1650.0</v>
      </c>
    </row>
    <row r="242" spans="1:8" ht="68" customHeight="1">
      <c r="A242" s="6">
        <v>227</v>
      </c>
      <c r="B242" s="6" t="s">
        <v>349</v>
      </c>
      <c r="C242" s="7" t="s">
        <v>352</v>
      </c>
      <c r="E242" s="6" t="s">
        <v>115</v>
      </c>
      <c r="F242" s="6">
        <v>10</v>
      </c>
      <c r="G242" s="8">
        <v>420</v>
      </c>
      <c r="H242" s="9">
        <f>F242*G242</f>
        <v>4200.0</v>
      </c>
    </row>
    <row r="243" spans="1:8" ht="68" customHeight="1">
      <c r="A243" s="6">
        <v>228</v>
      </c>
      <c r="B243" s="6" t="s">
        <v>349</v>
      </c>
      <c r="C243" s="7" t="s">
        <v>353</v>
      </c>
      <c r="E243" s="6" t="s">
        <v>115</v>
      </c>
      <c r="F243" s="6">
        <v>10</v>
      </c>
      <c r="G243" s="8">
        <v>420</v>
      </c>
      <c r="H243" s="9">
        <f>F243*G243</f>
        <v>4200.0</v>
      </c>
    </row>
    <row r="244" spans="1:8" ht="68" customHeight="1">
      <c r="A244" s="6">
        <v>229</v>
      </c>
      <c r="B244" s="6" t="s">
        <v>349</v>
      </c>
      <c r="C244" s="7" t="s">
        <v>354</v>
      </c>
      <c r="E244" s="6" t="s">
        <v>272</v>
      </c>
      <c r="F244" s="6">
        <v>10</v>
      </c>
      <c r="G244" s="8">
        <v>420</v>
      </c>
      <c r="H244" s="9">
        <f>F244*G244</f>
        <v>4200.0</v>
      </c>
    </row>
    <row r="245" spans="1:8" ht="68" customHeight="1">
      <c r="A245" s="6">
        <v>230</v>
      </c>
      <c r="B245" s="6" t="s">
        <v>349</v>
      </c>
      <c r="C245" s="7" t="s">
        <v>355</v>
      </c>
      <c r="E245" s="6" t="s">
        <v>75</v>
      </c>
      <c r="F245" s="6">
        <v>20</v>
      </c>
      <c r="G245" s="8">
        <v>420</v>
      </c>
      <c r="H245" s="9">
        <f>F245*G245</f>
        <v>8400.0</v>
      </c>
    </row>
    <row r="246" spans="1:8" ht="68" customHeight="1">
      <c r="A246" s="6">
        <v>231</v>
      </c>
      <c r="B246" s="6" t="s">
        <v>349</v>
      </c>
      <c r="C246" s="7" t="s">
        <v>356</v>
      </c>
      <c r="E246" s="6" t="s">
        <v>272</v>
      </c>
      <c r="F246" s="6">
        <v>10</v>
      </c>
      <c r="G246" s="8">
        <v>195</v>
      </c>
      <c r="H246" s="9">
        <f>F246*G246</f>
        <v>1950.0</v>
      </c>
    </row>
    <row r="247" spans="1:8" ht="68" customHeight="1">
      <c r="A247" s="6">
        <v>232</v>
      </c>
      <c r="B247" s="6" t="s">
        <v>349</v>
      </c>
      <c r="C247" s="7" t="s">
        <v>357</v>
      </c>
      <c r="E247" s="6" t="s">
        <v>104</v>
      </c>
      <c r="F247" s="6">
        <v>10</v>
      </c>
      <c r="G247" s="8">
        <v>420</v>
      </c>
      <c r="H247" s="9">
        <f>F247*G247</f>
        <v>4200.0</v>
      </c>
    </row>
    <row r="248" spans="1:8" ht="68" customHeight="1">
      <c r="A248" s="6">
        <v>233</v>
      </c>
      <c r="B248" s="6" t="s">
        <v>349</v>
      </c>
      <c r="C248" s="7" t="s">
        <v>358</v>
      </c>
      <c r="E248" s="6" t="s">
        <v>115</v>
      </c>
      <c r="F248" s="6">
        <v>10</v>
      </c>
      <c r="G248" s="8">
        <v>420</v>
      </c>
      <c r="H248" s="9">
        <f>F248*G248</f>
        <v>4200.0</v>
      </c>
    </row>
    <row r="249" spans="1:8" ht="68" customHeight="1">
      <c r="A249" s="6">
        <v>234</v>
      </c>
      <c r="B249" s="6" t="s">
        <v>349</v>
      </c>
      <c r="C249" s="7" t="s">
        <v>359</v>
      </c>
      <c r="E249" s="6" t="s">
        <v>133</v>
      </c>
      <c r="F249" s="6">
        <v>15</v>
      </c>
      <c r="G249" s="8">
        <v>420</v>
      </c>
      <c r="H249" s="9">
        <f>F249*G249</f>
        <v>6300.0</v>
      </c>
    </row>
    <row r="250" spans="1:8" ht="68" customHeight="1">
      <c r="A250" s="6">
        <v>235</v>
      </c>
      <c r="B250" s="6" t="s">
        <v>349</v>
      </c>
      <c r="C250" s="7" t="s">
        <v>360</v>
      </c>
      <c r="E250" s="6" t="s">
        <v>115</v>
      </c>
      <c r="F250" s="6">
        <v>10</v>
      </c>
      <c r="G250" s="8">
        <v>420</v>
      </c>
      <c r="H250" s="9">
        <f>F250*G250</f>
        <v>4200.0</v>
      </c>
    </row>
    <row r="251" spans="1:8" ht="68" customHeight="1">
      <c r="A251" s="6">
        <v>236</v>
      </c>
      <c r="B251" s="6" t="s">
        <v>349</v>
      </c>
      <c r="C251" s="7" t="s">
        <v>361</v>
      </c>
      <c r="E251" s="6" t="s">
        <v>104</v>
      </c>
      <c r="F251" s="6">
        <v>10</v>
      </c>
      <c r="G251" s="8">
        <v>420</v>
      </c>
      <c r="H251" s="9">
        <f>F251*G251</f>
        <v>4200.0</v>
      </c>
    </row>
    <row r="252" spans="1:8" ht="68" customHeight="1">
      <c r="A252" s="6">
        <v>237</v>
      </c>
      <c r="B252" s="6" t="s">
        <v>349</v>
      </c>
      <c r="C252" s="7" t="s">
        <v>362</v>
      </c>
      <c r="E252" s="6" t="s">
        <v>70</v>
      </c>
      <c r="F252" s="6">
        <v>6</v>
      </c>
      <c r="G252" s="8">
        <v>420</v>
      </c>
      <c r="H252" s="9">
        <f>F252*G252</f>
        <v>2520.0</v>
      </c>
    </row>
    <row r="253" spans="1:8" ht="68" customHeight="1">
      <c r="A253" s="6">
        <v>238</v>
      </c>
      <c r="B253" s="6" t="s">
        <v>349</v>
      </c>
      <c r="C253" s="7" t="s">
        <v>363</v>
      </c>
      <c r="E253" s="6" t="s">
        <v>272</v>
      </c>
      <c r="F253" s="6">
        <v>10</v>
      </c>
      <c r="G253" s="8">
        <v>420</v>
      </c>
      <c r="H253" s="9">
        <f>F253*G253</f>
        <v>4200.0</v>
      </c>
    </row>
    <row r="254" spans="1:8" ht="68" customHeight="1">
      <c r="A254" s="6">
        <v>239</v>
      </c>
      <c r="B254" s="6" t="s">
        <v>349</v>
      </c>
      <c r="C254" s="7" t="s">
        <v>364</v>
      </c>
      <c r="D254" s="6" t="s">
        <v>23</v>
      </c>
      <c r="E254" s="6" t="s">
        <v>283</v>
      </c>
      <c r="F254" s="6">
        <v>10</v>
      </c>
      <c r="G254" s="8">
        <v>420</v>
      </c>
      <c r="H254" s="9">
        <f>F254*G254</f>
        <v>4200.0</v>
      </c>
    </row>
    <row r="255" spans="1:8" ht="68" customHeight="1">
      <c r="A255" s="6">
        <v>240</v>
      </c>
      <c r="B255" s="6" t="s">
        <v>349</v>
      </c>
      <c r="C255" s="7" t="s">
        <v>365</v>
      </c>
      <c r="E255" s="6" t="s">
        <v>193</v>
      </c>
      <c r="F255" s="6">
        <v>100</v>
      </c>
      <c r="G255" s="8">
        <v>420</v>
      </c>
      <c r="H255" s="9">
        <f>F255*G255</f>
        <v>42000.0</v>
      </c>
    </row>
    <row r="256" spans="1:8" ht="68" customHeight="1">
      <c r="A256" s="6">
        <v>241</v>
      </c>
      <c r="B256" s="6" t="s">
        <v>349</v>
      </c>
      <c r="C256" s="7" t="s">
        <v>366</v>
      </c>
      <c r="E256" s="6" t="s">
        <v>70</v>
      </c>
      <c r="F256" s="6">
        <v>6</v>
      </c>
      <c r="G256" s="8">
        <v>420</v>
      </c>
      <c r="H256" s="9">
        <f>F256*G256</f>
        <v>2520.0</v>
      </c>
    </row>
    <row r="257" spans="1:8" ht="68" customHeight="1">
      <c r="A257" s="6">
        <v>242</v>
      </c>
      <c r="B257" s="6" t="s">
        <v>349</v>
      </c>
      <c r="C257" s="7" t="s">
        <v>367</v>
      </c>
      <c r="E257" s="6" t="s">
        <v>115</v>
      </c>
      <c r="F257" s="6">
        <v>10</v>
      </c>
      <c r="G257" s="8">
        <v>420</v>
      </c>
      <c r="H257" s="9">
        <f>F257*G257</f>
        <v>4200.0</v>
      </c>
    </row>
    <row r="258" spans="1:8" ht="68" customHeight="1">
      <c r="A258" s="6">
        <v>243</v>
      </c>
      <c r="B258" s="6" t="s">
        <v>349</v>
      </c>
      <c r="C258" s="7" t="s">
        <v>368</v>
      </c>
      <c r="E258" s="6" t="s">
        <v>209</v>
      </c>
      <c r="F258" s="6">
        <v>20</v>
      </c>
      <c r="G258" s="8">
        <v>420</v>
      </c>
      <c r="H258" s="9">
        <f>F258*G258</f>
        <v>8400.0</v>
      </c>
    </row>
    <row r="259" spans="1:8" ht="24" customHeight="1">
      <c r="A259" s="5" t="s">
        <v>369</v>
      </c>
      <c r="B259" s="5"/>
      <c r="C259" s="5"/>
      <c r="D259" s="5"/>
      <c r="E259" s="5"/>
      <c r="F259" s="5"/>
      <c r="G259" s="5"/>
      <c r="H259" s="5"/>
    </row>
    <row r="260" spans="1:8" ht="68" customHeight="1">
      <c r="A260" s="6">
        <v>244</v>
      </c>
      <c r="B260" s="6" t="s">
        <v>370</v>
      </c>
      <c r="C260" s="7" t="s">
        <v>371</v>
      </c>
      <c r="E260" s="6" t="s">
        <v>35</v>
      </c>
      <c r="F260" s="6">
        <v>30</v>
      </c>
      <c r="G260" s="8">
        <v>120</v>
      </c>
      <c r="H260" s="9">
        <f>F260*G260</f>
        <v>3600.0</v>
      </c>
    </row>
    <row r="261" spans="1:8" ht="68" customHeight="1">
      <c r="A261" s="6">
        <v>245</v>
      </c>
      <c r="B261" s="6" t="s">
        <v>370</v>
      </c>
      <c r="C261" s="7" t="s">
        <v>372</v>
      </c>
      <c r="E261" s="6" t="s">
        <v>187</v>
      </c>
      <c r="F261" s="6">
        <v>100</v>
      </c>
      <c r="G261" s="8">
        <v>359</v>
      </c>
      <c r="H261" s="9">
        <f>F261*G261</f>
        <v>35900.0</v>
      </c>
    </row>
    <row r="262" spans="1:8" ht="68" customHeight="1">
      <c r="A262" s="6">
        <v>246</v>
      </c>
      <c r="B262" s="6" t="s">
        <v>370</v>
      </c>
      <c r="C262" s="7" t="s">
        <v>373</v>
      </c>
      <c r="E262" s="6" t="s">
        <v>374</v>
      </c>
      <c r="F262" s="6">
        <v>500</v>
      </c>
      <c r="G262" s="8">
        <v>120</v>
      </c>
      <c r="H262" s="9">
        <f>F262*G262</f>
        <v>60000.0</v>
      </c>
    </row>
    <row r="263" spans="1:8" ht="68" customHeight="1">
      <c r="A263" s="6">
        <v>247</v>
      </c>
      <c r="B263" s="6" t="s">
        <v>370</v>
      </c>
      <c r="C263" s="7" t="s">
        <v>375</v>
      </c>
      <c r="E263" s="6" t="s">
        <v>35</v>
      </c>
      <c r="F263" s="6">
        <v>30</v>
      </c>
      <c r="G263" s="8">
        <v>120</v>
      </c>
      <c r="H263" s="9">
        <f>F263*G263</f>
        <v>3600.0</v>
      </c>
    </row>
    <row r="264" spans="1:8" ht="68" customHeight="1">
      <c r="A264" s="6">
        <v>248</v>
      </c>
      <c r="B264" s="6" t="s">
        <v>370</v>
      </c>
      <c r="C264" s="7" t="s">
        <v>376</v>
      </c>
      <c r="E264" s="6" t="s">
        <v>187</v>
      </c>
      <c r="F264" s="6">
        <v>100</v>
      </c>
      <c r="G264" s="8">
        <v>120</v>
      </c>
      <c r="H264" s="9">
        <f>F264*G264</f>
        <v>12000.0</v>
      </c>
    </row>
    <row r="265" spans="1:8" ht="68" customHeight="1">
      <c r="A265" s="6">
        <v>249</v>
      </c>
      <c r="B265" s="6" t="s">
        <v>370</v>
      </c>
      <c r="C265" s="7" t="s">
        <v>377</v>
      </c>
      <c r="D265" s="6" t="s">
        <v>23</v>
      </c>
      <c r="E265" s="6" t="s">
        <v>35</v>
      </c>
      <c r="F265" s="6">
        <v>30</v>
      </c>
      <c r="G265" s="8">
        <v>120</v>
      </c>
      <c r="H265" s="9">
        <f>F265*G265</f>
        <v>3600.0</v>
      </c>
    </row>
    <row r="266" spans="1:8" ht="68" customHeight="1">
      <c r="A266" s="6">
        <v>250</v>
      </c>
      <c r="B266" s="6" t="s">
        <v>370</v>
      </c>
      <c r="C266" s="7" t="s">
        <v>378</v>
      </c>
      <c r="E266" s="6" t="s">
        <v>379</v>
      </c>
      <c r="F266" s="6">
        <v>5</v>
      </c>
      <c r="G266" s="8">
        <v>120</v>
      </c>
      <c r="H266" s="9">
        <f>F266*G266</f>
        <v>600.0</v>
      </c>
    </row>
    <row r="267" spans="1:8" ht="68" customHeight="1">
      <c r="A267" s="6">
        <v>251</v>
      </c>
      <c r="B267" s="6" t="s">
        <v>370</v>
      </c>
      <c r="C267" s="7" t="s">
        <v>380</v>
      </c>
      <c r="D267" s="6" t="s">
        <v>23</v>
      </c>
      <c r="E267" s="6" t="s">
        <v>381</v>
      </c>
      <c r="F267" s="6">
        <v>5</v>
      </c>
      <c r="G267" s="8">
        <v>120</v>
      </c>
      <c r="H267" s="9">
        <f>F267*G267</f>
        <v>600.0</v>
      </c>
    </row>
    <row r="268" spans="1:8" ht="68" customHeight="1">
      <c r="A268" s="6">
        <v>252</v>
      </c>
      <c r="B268" s="6" t="s">
        <v>370</v>
      </c>
      <c r="C268" s="7" t="s">
        <v>382</v>
      </c>
      <c r="E268" s="6" t="s">
        <v>187</v>
      </c>
      <c r="F268" s="6">
        <v>100</v>
      </c>
      <c r="G268" s="8">
        <v>120</v>
      </c>
      <c r="H268" s="9">
        <f>F268*G268</f>
        <v>12000.0</v>
      </c>
    </row>
    <row r="269" spans="1:8" ht="68" customHeight="1">
      <c r="A269" s="6">
        <v>253</v>
      </c>
      <c r="B269" s="6" t="s">
        <v>370</v>
      </c>
      <c r="C269" s="7" t="s">
        <v>383</v>
      </c>
      <c r="E269" s="6" t="s">
        <v>384</v>
      </c>
      <c r="F269" s="6">
        <v>1</v>
      </c>
      <c r="G269" s="8">
        <v>120</v>
      </c>
      <c r="H269" s="9">
        <f>F269*G269</f>
        <v>120.0</v>
      </c>
    </row>
    <row r="270" spans="1:8" ht="68" customHeight="1">
      <c r="A270" s="6">
        <v>254</v>
      </c>
      <c r="B270" s="6" t="s">
        <v>370</v>
      </c>
      <c r="C270" s="7" t="s">
        <v>385</v>
      </c>
      <c r="D270" s="6" t="s">
        <v>23</v>
      </c>
      <c r="E270" s="6" t="s">
        <v>386</v>
      </c>
      <c r="F270" s="6">
        <v>5</v>
      </c>
      <c r="G270" s="8">
        <v>120</v>
      </c>
      <c r="H270" s="9">
        <f>F270*G270</f>
        <v>600.0</v>
      </c>
    </row>
    <row r="271" spans="1:8" ht="68" customHeight="1">
      <c r="A271" s="6">
        <v>255</v>
      </c>
      <c r="B271" s="6" t="s">
        <v>370</v>
      </c>
      <c r="C271" s="7" t="s">
        <v>387</v>
      </c>
      <c r="E271" s="6" t="s">
        <v>388</v>
      </c>
      <c r="F271" s="6">
        <v>100</v>
      </c>
      <c r="G271" s="8">
        <v>120</v>
      </c>
      <c r="H271" s="9">
        <f>F271*G271</f>
        <v>12000.0</v>
      </c>
    </row>
    <row r="272" spans="1:8" ht="68" customHeight="1">
      <c r="A272" s="6">
        <v>256</v>
      </c>
      <c r="B272" s="6" t="s">
        <v>370</v>
      </c>
      <c r="C272" s="7" t="s">
        <v>389</v>
      </c>
      <c r="E272" s="6" t="s">
        <v>346</v>
      </c>
      <c r="F272" s="6">
        <v>10</v>
      </c>
      <c r="G272" s="8">
        <v>149</v>
      </c>
      <c r="H272" s="9">
        <f>F272*G272</f>
        <v>1490.0</v>
      </c>
    </row>
    <row r="273" spans="1:8" ht="68" customHeight="1">
      <c r="A273" s="6">
        <v>257</v>
      </c>
      <c r="B273" s="6" t="s">
        <v>370</v>
      </c>
      <c r="C273" s="7" t="s">
        <v>390</v>
      </c>
      <c r="E273" s="6" t="s">
        <v>122</v>
      </c>
      <c r="F273" s="6">
        <v>4</v>
      </c>
      <c r="G273" s="8">
        <v>120</v>
      </c>
      <c r="H273" s="9">
        <f>F273*G273</f>
        <v>480.0</v>
      </c>
    </row>
    <row r="274" spans="1:8" ht="68" customHeight="1">
      <c r="A274" s="6">
        <v>258</v>
      </c>
      <c r="B274" s="6" t="s">
        <v>370</v>
      </c>
      <c r="C274" s="7" t="s">
        <v>391</v>
      </c>
      <c r="D274" s="6" t="s">
        <v>23</v>
      </c>
      <c r="E274" s="6" t="s">
        <v>392</v>
      </c>
      <c r="F274" s="6">
        <v>1</v>
      </c>
      <c r="G274" s="8">
        <v>120</v>
      </c>
      <c r="H274" s="9">
        <f>F274*G274</f>
        <v>120.0</v>
      </c>
    </row>
    <row r="275" spans="1:8" ht="68" customHeight="1">
      <c r="A275" s="6">
        <v>259</v>
      </c>
      <c r="B275" s="6" t="s">
        <v>370</v>
      </c>
      <c r="C275" s="7" t="s">
        <v>393</v>
      </c>
      <c r="E275" s="6" t="s">
        <v>104</v>
      </c>
      <c r="F275" s="6">
        <v>10</v>
      </c>
      <c r="G275" s="8">
        <v>120</v>
      </c>
      <c r="H275" s="9">
        <f>F275*G275</f>
        <v>1200.0</v>
      </c>
    </row>
    <row r="276" spans="1:8" ht="68" customHeight="1">
      <c r="A276" s="6">
        <v>260</v>
      </c>
      <c r="B276" s="6" t="s">
        <v>370</v>
      </c>
      <c r="C276" s="7" t="s">
        <v>394</v>
      </c>
      <c r="E276" s="6" t="s">
        <v>201</v>
      </c>
      <c r="F276" s="6">
        <v>20</v>
      </c>
      <c r="G276" s="8">
        <v>120</v>
      </c>
      <c r="H276" s="9">
        <f>F276*G276</f>
        <v>2400.0</v>
      </c>
    </row>
    <row r="277" spans="1:8" ht="68" customHeight="1">
      <c r="A277" s="6">
        <v>261</v>
      </c>
      <c r="B277" s="6" t="s">
        <v>370</v>
      </c>
      <c r="C277" s="7" t="s">
        <v>395</v>
      </c>
      <c r="E277" s="6" t="s">
        <v>122</v>
      </c>
      <c r="F277" s="6">
        <v>4</v>
      </c>
      <c r="G277" s="8">
        <v>120</v>
      </c>
      <c r="H277" s="9">
        <f>F277*G277</f>
        <v>480.0</v>
      </c>
    </row>
    <row r="278" spans="1:8" ht="68" customHeight="1">
      <c r="A278" s="6">
        <v>262</v>
      </c>
      <c r="B278" s="6" t="s">
        <v>370</v>
      </c>
      <c r="C278" s="7" t="s">
        <v>396</v>
      </c>
      <c r="E278" s="6" t="s">
        <v>122</v>
      </c>
      <c r="F278" s="6">
        <v>4</v>
      </c>
      <c r="G278" s="8">
        <v>120</v>
      </c>
      <c r="H278" s="9">
        <f>F278*G278</f>
        <v>480.0</v>
      </c>
    </row>
    <row r="279" spans="1:8" ht="68" customHeight="1">
      <c r="A279" s="6">
        <v>263</v>
      </c>
      <c r="B279" s="6" t="s">
        <v>370</v>
      </c>
      <c r="C279" s="7" t="s">
        <v>397</v>
      </c>
      <c r="E279" s="6" t="s">
        <v>212</v>
      </c>
      <c r="F279" s="6">
        <v>20</v>
      </c>
      <c r="G279" s="8">
        <v>120</v>
      </c>
      <c r="H279" s="9">
        <f>F279*G279</f>
        <v>2400.0</v>
      </c>
    </row>
    <row r="280" spans="1:8" ht="24" customHeight="1">
      <c r="A280" s="5" t="s">
        <v>398</v>
      </c>
      <c r="B280" s="5"/>
      <c r="C280" s="5"/>
      <c r="D280" s="5"/>
      <c r="E280" s="5"/>
      <c r="F280" s="5"/>
      <c r="G280" s="5"/>
      <c r="H280" s="5"/>
    </row>
    <row r="281" spans="1:8" ht="68" customHeight="1">
      <c r="A281" s="6">
        <v>264</v>
      </c>
      <c r="B281" s="6" t="s">
        <v>399</v>
      </c>
      <c r="C281" s="7" t="s">
        <v>400</v>
      </c>
      <c r="E281" s="6" t="s">
        <v>35</v>
      </c>
      <c r="F281" s="6">
        <v>30</v>
      </c>
      <c r="G281" s="8">
        <v>1060</v>
      </c>
      <c r="H281" s="9">
        <f>F281*G281</f>
        <v>31800.0</v>
      </c>
    </row>
    <row r="282" spans="1:8" ht="68" customHeight="1">
      <c r="A282" s="6">
        <v>265</v>
      </c>
      <c r="B282" s="6" t="s">
        <v>399</v>
      </c>
      <c r="C282" s="7" t="s">
        <v>401</v>
      </c>
      <c r="E282" s="6" t="s">
        <v>104</v>
      </c>
      <c r="F282" s="6">
        <v>10</v>
      </c>
      <c r="G282" s="8">
        <v>169</v>
      </c>
      <c r="H282" s="9">
        <f>F282*G282</f>
        <v>1690.0</v>
      </c>
    </row>
    <row r="283" spans="1:8" ht="68" customHeight="1">
      <c r="A283" s="6">
        <v>266</v>
      </c>
      <c r="B283" s="6" t="s">
        <v>399</v>
      </c>
      <c r="C283" s="7" t="s">
        <v>402</v>
      </c>
      <c r="E283" s="6" t="s">
        <v>48</v>
      </c>
      <c r="F283" s="6">
        <v>4</v>
      </c>
      <c r="G283" s="8">
        <v>480</v>
      </c>
      <c r="H283" s="9">
        <f>F283*G283</f>
        <v>1920.0</v>
      </c>
    </row>
    <row r="284" spans="1:8" ht="68" customHeight="1">
      <c r="A284" s="6">
        <v>267</v>
      </c>
      <c r="B284" s="6" t="s">
        <v>399</v>
      </c>
      <c r="C284" s="7" t="s">
        <v>403</v>
      </c>
      <c r="E284" s="6" t="s">
        <v>26</v>
      </c>
      <c r="F284" s="6">
        <v>2</v>
      </c>
      <c r="G284" s="8">
        <v>429</v>
      </c>
      <c r="H284" s="9">
        <f>F284*G284</f>
        <v>858.0</v>
      </c>
    </row>
    <row r="285" spans="1:8" ht="68" customHeight="1">
      <c r="A285" s="6">
        <v>268</v>
      </c>
      <c r="B285" s="6" t="s">
        <v>399</v>
      </c>
      <c r="C285" s="7" t="s">
        <v>404</v>
      </c>
      <c r="E285" s="6" t="s">
        <v>405</v>
      </c>
      <c r="F285" s="6">
        <v>3</v>
      </c>
      <c r="G285" s="8">
        <v>900</v>
      </c>
      <c r="H285" s="9">
        <f>F285*G285</f>
        <v>2700.0</v>
      </c>
    </row>
    <row r="286" spans="1:8" ht="68" customHeight="1">
      <c r="A286" s="6">
        <v>269</v>
      </c>
      <c r="B286" s="6" t="s">
        <v>399</v>
      </c>
      <c r="C286" s="7" t="s">
        <v>406</v>
      </c>
      <c r="E286" s="6" t="s">
        <v>212</v>
      </c>
      <c r="F286" s="6">
        <v>20</v>
      </c>
      <c r="G286" s="8">
        <v>480</v>
      </c>
      <c r="H286" s="9">
        <f>F286*G286</f>
        <v>9600.0</v>
      </c>
    </row>
    <row r="287" spans="1:8" ht="68" customHeight="1">
      <c r="A287" s="6">
        <v>270</v>
      </c>
      <c r="B287" s="6" t="s">
        <v>399</v>
      </c>
      <c r="C287" s="7" t="s">
        <v>407</v>
      </c>
      <c r="E287" s="6" t="s">
        <v>212</v>
      </c>
      <c r="F287" s="6">
        <v>20</v>
      </c>
      <c r="G287" s="8">
        <v>480</v>
      </c>
      <c r="H287" s="9">
        <f>F287*G287</f>
        <v>9600.0</v>
      </c>
    </row>
    <row r="288" spans="1:8" ht="68" customHeight="1">
      <c r="A288" s="6">
        <v>271</v>
      </c>
      <c r="B288" s="6" t="s">
        <v>399</v>
      </c>
      <c r="C288" s="7" t="s">
        <v>408</v>
      </c>
      <c r="E288" s="6" t="s">
        <v>183</v>
      </c>
      <c r="F288" s="6">
        <v>100</v>
      </c>
      <c r="G288" s="8">
        <v>14499</v>
      </c>
      <c r="H288" s="9">
        <f>F288*G288</f>
        <v>1449900.0</v>
      </c>
    </row>
    <row r="289" spans="1:8" ht="68" customHeight="1">
      <c r="A289" s="6">
        <v>272</v>
      </c>
      <c r="B289" s="6" t="s">
        <v>399</v>
      </c>
      <c r="C289" s="7" t="s">
        <v>409</v>
      </c>
      <c r="E289" s="6" t="s">
        <v>68</v>
      </c>
      <c r="F289" s="6">
        <v>40</v>
      </c>
      <c r="G289" s="8">
        <v>359</v>
      </c>
      <c r="H289" s="9">
        <f>F289*G289</f>
        <v>14360.0</v>
      </c>
    </row>
    <row r="290" spans="1:8" ht="68" customHeight="1">
      <c r="A290" s="6">
        <v>273</v>
      </c>
      <c r="B290" s="6" t="s">
        <v>399</v>
      </c>
      <c r="C290" s="7" t="s">
        <v>410</v>
      </c>
      <c r="E290" s="6" t="s">
        <v>411</v>
      </c>
      <c r="F290" s="6">
        <v>2</v>
      </c>
      <c r="G290" s="8">
        <v>359</v>
      </c>
      <c r="H290" s="9">
        <f>F290*G290</f>
        <v>718.0</v>
      </c>
    </row>
    <row r="291" spans="1:8" ht="68" customHeight="1">
      <c r="A291" s="6">
        <v>274</v>
      </c>
      <c r="B291" s="6" t="s">
        <v>399</v>
      </c>
      <c r="C291" s="7" t="s">
        <v>412</v>
      </c>
      <c r="D291" s="6" t="s">
        <v>23</v>
      </c>
      <c r="E291" s="6" t="s">
        <v>411</v>
      </c>
      <c r="F291" s="6">
        <v>2</v>
      </c>
      <c r="G291" s="8">
        <v>4800</v>
      </c>
      <c r="H291" s="9">
        <f>F291*G291</f>
        <v>9600.0</v>
      </c>
    </row>
    <row r="292" spans="1:8" ht="68" customHeight="1">
      <c r="A292" s="6">
        <v>275</v>
      </c>
      <c r="B292" s="6" t="s">
        <v>399</v>
      </c>
      <c r="C292" s="7" t="s">
        <v>413</v>
      </c>
      <c r="E292" s="6" t="s">
        <v>411</v>
      </c>
      <c r="F292" s="6">
        <v>2</v>
      </c>
      <c r="G292" s="8">
        <v>429</v>
      </c>
      <c r="H292" s="9">
        <f>F292*G292</f>
        <v>858.0</v>
      </c>
    </row>
    <row r="293" spans="1:8" ht="68" customHeight="1">
      <c r="A293" s="6">
        <v>276</v>
      </c>
      <c r="B293" s="6" t="s">
        <v>399</v>
      </c>
      <c r="C293" s="7" t="s">
        <v>414</v>
      </c>
      <c r="D293" s="6" t="s">
        <v>23</v>
      </c>
      <c r="E293" s="6" t="s">
        <v>21</v>
      </c>
      <c r="F293" s="6">
        <v>1</v>
      </c>
      <c r="G293" s="8">
        <v>480</v>
      </c>
      <c r="H293" s="9">
        <f>F293*G293</f>
        <v>480.0</v>
      </c>
    </row>
    <row r="294" spans="1:8" ht="68" customHeight="1">
      <c r="A294" s="6">
        <v>277</v>
      </c>
      <c r="B294" s="6" t="s">
        <v>399</v>
      </c>
      <c r="C294" s="7" t="s">
        <v>415</v>
      </c>
      <c r="E294" s="6" t="s">
        <v>416</v>
      </c>
      <c r="F294" s="6">
        <v>2</v>
      </c>
      <c r="G294" s="8">
        <v>480</v>
      </c>
      <c r="H294" s="9">
        <f>F294*G294</f>
        <v>960.0</v>
      </c>
    </row>
    <row r="295" spans="1:8" ht="68" customHeight="1">
      <c r="A295" s="6">
        <v>278</v>
      </c>
      <c r="B295" s="6" t="s">
        <v>399</v>
      </c>
      <c r="C295" s="7" t="s">
        <v>417</v>
      </c>
      <c r="E295" s="6" t="s">
        <v>21</v>
      </c>
      <c r="F295" s="6">
        <v>1</v>
      </c>
      <c r="G295" s="8">
        <v>480</v>
      </c>
      <c r="H295" s="9">
        <f>F295*G295</f>
        <v>480.0</v>
      </c>
    </row>
    <row r="296" spans="1:8" ht="68" customHeight="1">
      <c r="A296" s="6">
        <v>279</v>
      </c>
      <c r="B296" s="6" t="s">
        <v>399</v>
      </c>
      <c r="C296" s="7" t="s">
        <v>418</v>
      </c>
      <c r="D296" s="6" t="s">
        <v>23</v>
      </c>
      <c r="E296" s="6" t="s">
        <v>286</v>
      </c>
      <c r="F296" s="6">
        <v>40</v>
      </c>
      <c r="G296" s="8">
        <v>429</v>
      </c>
      <c r="H296" s="9">
        <f>F296*G296</f>
        <v>17160.0</v>
      </c>
    </row>
    <row r="297" spans="1:8" ht="68" customHeight="1">
      <c r="A297" s="6">
        <v>280</v>
      </c>
      <c r="B297" s="6" t="s">
        <v>399</v>
      </c>
      <c r="C297" s="7" t="s">
        <v>419</v>
      </c>
      <c r="E297" s="6" t="s">
        <v>420</v>
      </c>
      <c r="F297" s="6">
        <v>3</v>
      </c>
      <c r="G297" s="8">
        <v>480</v>
      </c>
      <c r="H297" s="9">
        <f>F297*G297</f>
        <v>1440.0</v>
      </c>
    </row>
    <row r="298" spans="1:8" ht="68" customHeight="1">
      <c r="A298" s="6">
        <v>281</v>
      </c>
      <c r="B298" s="6" t="s">
        <v>399</v>
      </c>
      <c r="C298" s="7" t="s">
        <v>245</v>
      </c>
      <c r="E298" s="6" t="s">
        <v>41</v>
      </c>
      <c r="F298" s="6">
        <v>2</v>
      </c>
      <c r="G298" s="8">
        <v>480</v>
      </c>
      <c r="H298" s="9">
        <f>F298*G298</f>
        <v>960.0</v>
      </c>
    </row>
    <row r="299" spans="1:8" ht="24" customHeight="1">
      <c r="A299" s="5" t="s">
        <v>421</v>
      </c>
      <c r="B299" s="5"/>
      <c r="C299" s="5"/>
      <c r="D299" s="5"/>
      <c r="E299" s="5"/>
      <c r="F299" s="5"/>
      <c r="G299" s="5"/>
      <c r="H299" s="5"/>
    </row>
    <row r="300" spans="1:8" ht="68" customHeight="1">
      <c r="A300" s="6">
        <v>282</v>
      </c>
      <c r="B300" s="6" t="s">
        <v>422</v>
      </c>
      <c r="C300" s="7" t="s">
        <v>423</v>
      </c>
      <c r="E300" s="6" t="s">
        <v>24</v>
      </c>
      <c r="F300" s="6">
        <v>1</v>
      </c>
      <c r="G300" s="8">
        <v>1850</v>
      </c>
      <c r="H300" s="9">
        <f>F300*G300</f>
        <v>1850.0</v>
      </c>
    </row>
    <row r="301" spans="1:8" ht="68" customHeight="1">
      <c r="A301" s="6">
        <v>283</v>
      </c>
      <c r="B301" s="6" t="s">
        <v>422</v>
      </c>
      <c r="C301" s="7" t="s">
        <v>424</v>
      </c>
      <c r="E301" s="6" t="s">
        <v>68</v>
      </c>
      <c r="F301" s="6">
        <v>40</v>
      </c>
      <c r="G301" s="8">
        <v>160</v>
      </c>
      <c r="H301" s="9">
        <f>F301*G301</f>
        <v>6400.0</v>
      </c>
    </row>
    <row r="302" spans="1:8" ht="68" customHeight="1">
      <c r="A302" s="6">
        <v>284</v>
      </c>
      <c r="B302" s="6" t="s">
        <v>422</v>
      </c>
      <c r="C302" s="7" t="s">
        <v>94</v>
      </c>
      <c r="E302" s="6" t="s">
        <v>243</v>
      </c>
      <c r="F302" s="6">
        <v>20</v>
      </c>
      <c r="G302" s="8">
        <v>359</v>
      </c>
      <c r="H302" s="9">
        <f>F302*G302</f>
        <v>7180.0</v>
      </c>
    </row>
    <row r="303" spans="1:8" ht="68" customHeight="1">
      <c r="A303" s="6">
        <v>285</v>
      </c>
      <c r="B303" s="6" t="s">
        <v>422</v>
      </c>
      <c r="C303" s="7" t="s">
        <v>425</v>
      </c>
      <c r="E303" s="6" t="s">
        <v>426</v>
      </c>
      <c r="F303" s="6">
        <v>1</v>
      </c>
      <c r="G303" s="8">
        <v>350</v>
      </c>
      <c r="H303" s="9">
        <f>F303*G303</f>
        <v>350.0</v>
      </c>
    </row>
    <row r="304" spans="1:8" ht="68" customHeight="1">
      <c r="A304" s="6">
        <v>286</v>
      </c>
      <c r="B304" s="6" t="s">
        <v>422</v>
      </c>
      <c r="C304" s="7" t="s">
        <v>427</v>
      </c>
      <c r="E304" s="6" t="s">
        <v>428</v>
      </c>
      <c r="F304" s="6">
        <v>1</v>
      </c>
      <c r="G304" s="8">
        <v>350</v>
      </c>
      <c r="H304" s="9">
        <f>F304*G304</f>
        <v>350.0</v>
      </c>
    </row>
    <row r="305" spans="1:8" ht="68" customHeight="1">
      <c r="A305" s="6">
        <v>287</v>
      </c>
      <c r="B305" s="6" t="s">
        <v>422</v>
      </c>
      <c r="C305" s="7" t="s">
        <v>429</v>
      </c>
      <c r="E305" s="6" t="s">
        <v>21</v>
      </c>
      <c r="F305" s="6">
        <v>1</v>
      </c>
      <c r="G305" s="8">
        <v>350</v>
      </c>
      <c r="H305" s="9">
        <f>F305*G305</f>
        <v>350.0</v>
      </c>
    </row>
    <row r="306" spans="1:8" ht="68" customHeight="1">
      <c r="A306" s="6">
        <v>288</v>
      </c>
      <c r="B306" s="6" t="s">
        <v>422</v>
      </c>
      <c r="C306" s="7" t="s">
        <v>430</v>
      </c>
      <c r="E306" s="6" t="s">
        <v>431</v>
      </c>
      <c r="F306" s="6">
        <v>1</v>
      </c>
      <c r="G306" s="8">
        <v>350</v>
      </c>
      <c r="H306" s="9">
        <f>F306*G306</f>
        <v>350.0</v>
      </c>
    </row>
    <row r="307" spans="1:8" ht="68" customHeight="1">
      <c r="A307" s="6">
        <v>289</v>
      </c>
      <c r="B307" s="6" t="s">
        <v>422</v>
      </c>
      <c r="C307" s="7" t="s">
        <v>432</v>
      </c>
      <c r="E307" s="6" t="s">
        <v>21</v>
      </c>
      <c r="F307" s="6">
        <v>1</v>
      </c>
      <c r="G307" s="8">
        <v>350</v>
      </c>
      <c r="H307" s="9">
        <f>F307*G307</f>
        <v>350.0</v>
      </c>
    </row>
    <row r="308" spans="1:8" ht="68" customHeight="1">
      <c r="A308" s="6">
        <v>290</v>
      </c>
      <c r="B308" s="6" t="s">
        <v>422</v>
      </c>
      <c r="C308" s="7" t="s">
        <v>433</v>
      </c>
      <c r="E308" s="6" t="s">
        <v>48</v>
      </c>
      <c r="F308" s="6">
        <v>4</v>
      </c>
      <c r="G308" s="8">
        <v>1060</v>
      </c>
      <c r="H308" s="9">
        <f>F308*G308</f>
        <v>4240.0</v>
      </c>
    </row>
    <row r="309" spans="1:8" ht="68" customHeight="1">
      <c r="A309" s="6">
        <v>291</v>
      </c>
      <c r="B309" s="6" t="s">
        <v>422</v>
      </c>
      <c r="C309" s="7" t="s">
        <v>434</v>
      </c>
      <c r="E309" s="6" t="s">
        <v>435</v>
      </c>
      <c r="F309" s="6">
        <v>1</v>
      </c>
      <c r="G309" s="8">
        <v>1450</v>
      </c>
      <c r="H309" s="9">
        <f>F309*G309</f>
        <v>1450.0</v>
      </c>
    </row>
    <row r="310" spans="1:8" ht="68" customHeight="1">
      <c r="A310" s="6">
        <v>292</v>
      </c>
      <c r="B310" s="6" t="s">
        <v>422</v>
      </c>
      <c r="C310" s="7" t="s">
        <v>436</v>
      </c>
      <c r="E310" s="6" t="s">
        <v>437</v>
      </c>
      <c r="F310" s="6">
        <v>1</v>
      </c>
      <c r="G310" s="8">
        <v>220</v>
      </c>
      <c r="H310" s="9">
        <f>F310*G310</f>
        <v>220.0</v>
      </c>
    </row>
    <row r="311" spans="1:8" ht="68" customHeight="1">
      <c r="A311" s="6">
        <v>293</v>
      </c>
      <c r="B311" s="6" t="s">
        <v>422</v>
      </c>
      <c r="C311" s="7" t="s">
        <v>438</v>
      </c>
      <c r="E311" s="6" t="s">
        <v>426</v>
      </c>
      <c r="F311" s="6">
        <v>1</v>
      </c>
      <c r="G311" s="8">
        <v>350</v>
      </c>
      <c r="H311" s="9">
        <f>F311*G311</f>
        <v>350.0</v>
      </c>
    </row>
    <row r="312" spans="1:8" ht="68" customHeight="1">
      <c r="A312" s="6">
        <v>294</v>
      </c>
      <c r="B312" s="6" t="s">
        <v>422</v>
      </c>
      <c r="C312" s="7" t="s">
        <v>439</v>
      </c>
      <c r="E312" s="6" t="s">
        <v>58</v>
      </c>
      <c r="F312" s="6">
        <v>1</v>
      </c>
      <c r="G312" s="8">
        <v>350</v>
      </c>
      <c r="H312" s="9">
        <f>F312*G312</f>
        <v>350.0</v>
      </c>
    </row>
    <row r="313" spans="1:8" ht="68" customHeight="1">
      <c r="A313" s="6">
        <v>295</v>
      </c>
      <c r="B313" s="6" t="s">
        <v>422</v>
      </c>
      <c r="C313" s="7" t="s">
        <v>440</v>
      </c>
      <c r="E313" s="6" t="s">
        <v>426</v>
      </c>
      <c r="F313" s="6">
        <v>1</v>
      </c>
      <c r="G313" s="8">
        <v>350</v>
      </c>
      <c r="H313" s="9">
        <f>F313*G313</f>
        <v>350.0</v>
      </c>
    </row>
    <row r="314" spans="1:8" ht="68" customHeight="1">
      <c r="A314" s="6">
        <v>296</v>
      </c>
      <c r="B314" s="6" t="s">
        <v>422</v>
      </c>
      <c r="C314" s="7" t="s">
        <v>441</v>
      </c>
      <c r="E314" s="6" t="s">
        <v>48</v>
      </c>
      <c r="F314" s="6">
        <v>4</v>
      </c>
      <c r="G314" s="8">
        <v>350</v>
      </c>
      <c r="H314" s="9">
        <f>F314*G314</f>
        <v>1400.0</v>
      </c>
    </row>
    <row r="315" spans="1:8" ht="68" customHeight="1">
      <c r="A315" s="6">
        <v>297</v>
      </c>
      <c r="B315" s="6" t="s">
        <v>422</v>
      </c>
      <c r="C315" s="7" t="s">
        <v>442</v>
      </c>
      <c r="E315" s="6" t="s">
        <v>443</v>
      </c>
      <c r="F315" s="6">
        <v>2</v>
      </c>
      <c r="G315" s="8">
        <v>350</v>
      </c>
      <c r="H315" s="9">
        <f>F315*G315</f>
        <v>700.0</v>
      </c>
    </row>
    <row r="316" spans="1:8" ht="68" customHeight="1">
      <c r="A316" s="6">
        <v>298</v>
      </c>
      <c r="B316" s="6" t="s">
        <v>422</v>
      </c>
      <c r="C316" s="7" t="s">
        <v>444</v>
      </c>
      <c r="D316" s="6" t="s">
        <v>23</v>
      </c>
      <c r="E316" s="6" t="s">
        <v>41</v>
      </c>
      <c r="F316" s="6">
        <v>2</v>
      </c>
      <c r="G316" s="8">
        <v>350</v>
      </c>
      <c r="H316" s="9">
        <f>F316*G316</f>
        <v>700.0</v>
      </c>
    </row>
    <row r="317" spans="1:8" ht="68" customHeight="1">
      <c r="A317" s="6">
        <v>299</v>
      </c>
      <c r="B317" s="6" t="s">
        <v>422</v>
      </c>
      <c r="C317" s="7" t="s">
        <v>445</v>
      </c>
      <c r="E317" s="6" t="s">
        <v>21</v>
      </c>
      <c r="F317" s="6">
        <v>1</v>
      </c>
      <c r="G317" s="8">
        <v>350</v>
      </c>
      <c r="H317" s="9">
        <f>F317*G317</f>
        <v>350.0</v>
      </c>
    </row>
    <row r="318" spans="1:8" ht="24" customHeight="1">
      <c r="A318" s="5" t="s">
        <v>446</v>
      </c>
      <c r="B318" s="5"/>
      <c r="C318" s="5"/>
      <c r="D318" s="5"/>
      <c r="E318" s="5"/>
      <c r="F318" s="5"/>
      <c r="G318" s="5"/>
      <c r="H318" s="5"/>
    </row>
    <row r="319" spans="1:8" ht="68" customHeight="1">
      <c r="A319" s="6">
        <v>300</v>
      </c>
      <c r="B319" s="6" t="s">
        <v>447</v>
      </c>
      <c r="C319" s="7" t="s">
        <v>448</v>
      </c>
      <c r="D319" s="6" t="s">
        <v>23</v>
      </c>
      <c r="E319" s="6" t="s">
        <v>21</v>
      </c>
      <c r="F319" s="6">
        <v>1</v>
      </c>
      <c r="G319" s="8">
        <v>1200</v>
      </c>
      <c r="H319" s="9">
        <f>F319*G319</f>
        <v>1200.0</v>
      </c>
    </row>
    <row r="320" spans="1:8" ht="68" customHeight="1">
      <c r="A320" s="6">
        <v>301</v>
      </c>
      <c r="B320" s="6" t="s">
        <v>447</v>
      </c>
      <c r="C320" s="7" t="s">
        <v>449</v>
      </c>
      <c r="D320" s="6" t="s">
        <v>23</v>
      </c>
      <c r="E320" s="6" t="s">
        <v>21</v>
      </c>
      <c r="F320" s="6">
        <v>1</v>
      </c>
      <c r="G320" s="8">
        <v>1200</v>
      </c>
      <c r="H320" s="9">
        <f>F320*G320</f>
        <v>1200.0</v>
      </c>
    </row>
    <row r="321" spans="1:8" ht="68" customHeight="1">
      <c r="A321" s="6">
        <v>302</v>
      </c>
      <c r="B321" s="6" t="s">
        <v>447</v>
      </c>
      <c r="C321" s="7" t="s">
        <v>450</v>
      </c>
      <c r="D321" s="6" t="s">
        <v>23</v>
      </c>
      <c r="E321" s="6" t="s">
        <v>21</v>
      </c>
      <c r="F321" s="6">
        <v>1</v>
      </c>
      <c r="G321" s="8">
        <v>1200</v>
      </c>
      <c r="H321" s="9">
        <f>F321*G321</f>
        <v>1200.0</v>
      </c>
    </row>
    <row r="322" spans="1:8" ht="68" customHeight="1">
      <c r="A322" s="6">
        <v>303</v>
      </c>
      <c r="B322" s="6" t="s">
        <v>447</v>
      </c>
      <c r="C322" s="7" t="s">
        <v>451</v>
      </c>
      <c r="D322" s="6" t="s">
        <v>23</v>
      </c>
      <c r="E322" s="6" t="s">
        <v>39</v>
      </c>
      <c r="F322" s="6">
        <v>1</v>
      </c>
      <c r="G322" s="8">
        <v>1200</v>
      </c>
      <c r="H322" s="9">
        <f>F322*G322</f>
        <v>1200.0</v>
      </c>
    </row>
    <row r="323" spans="1:8" ht="68" customHeight="1">
      <c r="A323" s="6">
        <v>304</v>
      </c>
      <c r="B323" s="6" t="s">
        <v>447</v>
      </c>
      <c r="C323" s="7" t="s">
        <v>452</v>
      </c>
      <c r="D323" s="6" t="s">
        <v>23</v>
      </c>
      <c r="E323" s="6" t="s">
        <v>21</v>
      </c>
      <c r="F323" s="6">
        <v>1</v>
      </c>
      <c r="G323" s="8">
        <v>1200</v>
      </c>
      <c r="H323" s="9">
        <f>F323*G323</f>
        <v>1200.0</v>
      </c>
    </row>
    <row r="324" spans="1:8" ht="68" customHeight="1">
      <c r="A324" s="6">
        <v>305</v>
      </c>
      <c r="B324" s="6" t="s">
        <v>447</v>
      </c>
      <c r="C324" s="7" t="s">
        <v>453</v>
      </c>
      <c r="E324" s="6" t="s">
        <v>454</v>
      </c>
      <c r="F324" s="6">
        <v>1</v>
      </c>
      <c r="G324" s="8">
        <v>359</v>
      </c>
      <c r="H324" s="9">
        <f>F324*G324</f>
        <v>359.0</v>
      </c>
    </row>
    <row r="325" spans="1:8" ht="68" customHeight="1">
      <c r="A325" s="6">
        <v>306</v>
      </c>
      <c r="B325" s="6" t="s">
        <v>447</v>
      </c>
      <c r="C325" s="7" t="s">
        <v>455</v>
      </c>
      <c r="E325" s="6" t="s">
        <v>21</v>
      </c>
      <c r="F325" s="6">
        <v>1</v>
      </c>
      <c r="G325" s="8">
        <v>134</v>
      </c>
      <c r="H325" s="9">
        <f>F325*G325</f>
        <v>134.0</v>
      </c>
    </row>
    <row r="326" spans="1:8" ht="68" customHeight="1">
      <c r="A326" s="6">
        <v>307</v>
      </c>
      <c r="B326" s="6" t="s">
        <v>447</v>
      </c>
      <c r="C326" s="7" t="s">
        <v>456</v>
      </c>
      <c r="E326" s="6" t="s">
        <v>41</v>
      </c>
      <c r="F326" s="6">
        <v>2</v>
      </c>
      <c r="G326" s="8">
        <v>359</v>
      </c>
      <c r="H326" s="9">
        <f>F326*G326</f>
        <v>718.0</v>
      </c>
    </row>
    <row r="327" spans="1:8" ht="68" customHeight="1">
      <c r="A327" s="6">
        <v>308</v>
      </c>
      <c r="B327" s="6" t="s">
        <v>447</v>
      </c>
      <c r="C327" s="7" t="s">
        <v>457</v>
      </c>
      <c r="E327" s="6" t="s">
        <v>41</v>
      </c>
      <c r="F327" s="6">
        <v>2</v>
      </c>
      <c r="G327" s="8">
        <v>1200</v>
      </c>
      <c r="H327" s="9">
        <f>F327*G327</f>
        <v>2400.0</v>
      </c>
    </row>
    <row r="328" spans="1:8" ht="68" customHeight="1">
      <c r="A328" s="6">
        <v>309</v>
      </c>
      <c r="B328" s="6" t="s">
        <v>447</v>
      </c>
      <c r="C328" s="7" t="s">
        <v>458</v>
      </c>
      <c r="D328" s="6" t="s">
        <v>23</v>
      </c>
      <c r="E328" s="6" t="s">
        <v>26</v>
      </c>
      <c r="F328" s="6">
        <v>2</v>
      </c>
      <c r="G328" s="8">
        <v>18500</v>
      </c>
      <c r="H328" s="9">
        <f>F328*G328</f>
        <v>37000.0</v>
      </c>
    </row>
    <row r="329" spans="1:8" ht="68" customHeight="1">
      <c r="A329" s="6">
        <v>310</v>
      </c>
      <c r="B329" s="6" t="s">
        <v>447</v>
      </c>
      <c r="C329" s="7" t="s">
        <v>459</v>
      </c>
      <c r="D329" s="6" t="s">
        <v>23</v>
      </c>
      <c r="E329" s="6" t="s">
        <v>21</v>
      </c>
      <c r="F329" s="6">
        <v>1</v>
      </c>
      <c r="G329" s="8">
        <v>1200</v>
      </c>
      <c r="H329" s="9">
        <f>F329*G329</f>
        <v>1200.0</v>
      </c>
    </row>
    <row r="330" spans="1:8" ht="68" customHeight="1">
      <c r="A330" s="6">
        <v>311</v>
      </c>
      <c r="B330" s="6" t="s">
        <v>447</v>
      </c>
      <c r="C330" s="7" t="s">
        <v>460</v>
      </c>
      <c r="E330" s="6" t="s">
        <v>63</v>
      </c>
      <c r="F330" s="6">
        <v>1</v>
      </c>
      <c r="G330" s="8">
        <v>359</v>
      </c>
      <c r="H330" s="9">
        <f>F330*G330</f>
        <v>359.0</v>
      </c>
    </row>
    <row r="331" spans="1:8" ht="24" customHeight="1">
      <c r="A331" s="5" t="s">
        <v>461</v>
      </c>
      <c r="B331" s="5"/>
      <c r="C331" s="5"/>
      <c r="D331" s="5"/>
      <c r="E331" s="5"/>
      <c r="F331" s="5"/>
      <c r="G331" s="5"/>
      <c r="H331" s="5"/>
    </row>
    <row r="332" spans="1:8" ht="68" customHeight="1">
      <c r="A332" s="6">
        <v>312</v>
      </c>
      <c r="B332" s="6" t="s">
        <v>462</v>
      </c>
      <c r="C332" s="7" t="s">
        <v>463</v>
      </c>
      <c r="E332" s="6" t="s">
        <v>24</v>
      </c>
      <c r="F332" s="6">
        <v>1</v>
      </c>
      <c r="G332" s="8">
        <v>37045</v>
      </c>
      <c r="H332" s="9">
        <f>F332*G332</f>
        <v>37045.0</v>
      </c>
    </row>
    <row r="333" spans="1:8" ht="68" customHeight="1">
      <c r="A333" s="6">
        <v>313</v>
      </c>
      <c r="B333" s="6" t="s">
        <v>462</v>
      </c>
      <c r="C333" s="7" t="s">
        <v>256</v>
      </c>
      <c r="E333" s="6" t="s">
        <v>21</v>
      </c>
      <c r="F333" s="6">
        <v>1</v>
      </c>
      <c r="G333" s="8">
        <v>429</v>
      </c>
      <c r="H333" s="9">
        <f>F333*G333</f>
        <v>429.0</v>
      </c>
    </row>
    <row r="334" spans="1:8" ht="68" customHeight="1">
      <c r="A334" s="6">
        <v>314</v>
      </c>
      <c r="B334" s="6" t="s">
        <v>462</v>
      </c>
      <c r="C334" s="7" t="s">
        <v>464</v>
      </c>
      <c r="E334" s="6" t="s">
        <v>41</v>
      </c>
      <c r="F334" s="6">
        <v>2</v>
      </c>
      <c r="G334" s="8">
        <v>14499</v>
      </c>
      <c r="H334" s="9">
        <f>F334*G334</f>
        <v>28998.0</v>
      </c>
    </row>
    <row r="335" spans="1:8" ht="68" customHeight="1">
      <c r="A335" s="6">
        <v>315</v>
      </c>
      <c r="B335" s="6" t="s">
        <v>462</v>
      </c>
      <c r="C335" s="7" t="s">
        <v>465</v>
      </c>
      <c r="D335" s="6" t="s">
        <v>23</v>
      </c>
      <c r="E335" s="6" t="s">
        <v>24</v>
      </c>
      <c r="F335" s="6">
        <v>1</v>
      </c>
      <c r="G335" s="8">
        <v>399</v>
      </c>
      <c r="H335" s="9">
        <f>F335*G335</f>
        <v>399.0</v>
      </c>
    </row>
    <row r="336" spans="1:8" ht="68" customHeight="1">
      <c r="A336" s="6">
        <v>316</v>
      </c>
      <c r="B336" s="6" t="s">
        <v>462</v>
      </c>
      <c r="C336" s="7" t="s">
        <v>466</v>
      </c>
      <c r="E336" s="6" t="s">
        <v>48</v>
      </c>
      <c r="F336" s="6">
        <v>4</v>
      </c>
      <c r="G336" s="8">
        <v>8500</v>
      </c>
      <c r="H336" s="9">
        <f>F336*G336</f>
        <v>34000.0</v>
      </c>
    </row>
    <row r="337" spans="1:8" ht="68" customHeight="1">
      <c r="A337" s="6">
        <v>317</v>
      </c>
      <c r="B337" s="6" t="s">
        <v>462</v>
      </c>
      <c r="C337" s="7" t="s">
        <v>467</v>
      </c>
      <c r="E337" s="6" t="s">
        <v>73</v>
      </c>
      <c r="F337" s="6">
        <v>8</v>
      </c>
      <c r="G337" s="8">
        <v>399</v>
      </c>
      <c r="H337" s="9">
        <f>F337*G337</f>
        <v>3192.0</v>
      </c>
    </row>
    <row r="338" spans="1:8" ht="68" customHeight="1">
      <c r="A338" s="6">
        <v>318</v>
      </c>
      <c r="B338" s="6" t="s">
        <v>462</v>
      </c>
      <c r="C338" s="7" t="s">
        <v>468</v>
      </c>
      <c r="E338" s="6" t="s">
        <v>21</v>
      </c>
      <c r="F338" s="6">
        <v>1</v>
      </c>
      <c r="G338" s="8">
        <v>65000</v>
      </c>
      <c r="H338" s="9">
        <f>F338*G338</f>
        <v>65000.0</v>
      </c>
    </row>
    <row r="339" spans="1:8" ht="68" customHeight="1">
      <c r="A339" s="6">
        <v>319</v>
      </c>
      <c r="B339" s="6" t="s">
        <v>462</v>
      </c>
      <c r="C339" s="7" t="s">
        <v>469</v>
      </c>
      <c r="E339" s="6" t="s">
        <v>21</v>
      </c>
      <c r="F339" s="6">
        <v>1</v>
      </c>
      <c r="G339" s="8">
        <v>12500</v>
      </c>
      <c r="H339" s="9">
        <f>F339*G339</f>
        <v>12500.0</v>
      </c>
    </row>
    <row r="340" spans="1:8" ht="68" customHeight="1">
      <c r="A340" s="6">
        <v>320</v>
      </c>
      <c r="B340" s="6" t="s">
        <v>462</v>
      </c>
      <c r="C340" s="7" t="s">
        <v>470</v>
      </c>
      <c r="E340" s="6" t="s">
        <v>24</v>
      </c>
      <c r="F340" s="6">
        <v>1</v>
      </c>
      <c r="G340" s="8">
        <v>14499</v>
      </c>
      <c r="H340" s="9">
        <f>F340*G340</f>
        <v>14499.0</v>
      </c>
    </row>
    <row r="341" spans="1:8" ht="68" customHeight="1">
      <c r="A341" s="6">
        <v>321</v>
      </c>
      <c r="B341" s="6" t="s">
        <v>462</v>
      </c>
      <c r="C341" s="7" t="s">
        <v>471</v>
      </c>
      <c r="E341" s="6" t="s">
        <v>21</v>
      </c>
      <c r="F341" s="6">
        <v>1</v>
      </c>
      <c r="G341" s="8">
        <v>429</v>
      </c>
      <c r="H341" s="9">
        <f>F341*G341</f>
        <v>429.0</v>
      </c>
    </row>
    <row r="342" spans="1:8" ht="68" customHeight="1">
      <c r="A342" s="6">
        <v>322</v>
      </c>
      <c r="B342" s="6" t="s">
        <v>462</v>
      </c>
      <c r="C342" s="7" t="s">
        <v>472</v>
      </c>
      <c r="E342" s="6" t="s">
        <v>48</v>
      </c>
      <c r="F342" s="6">
        <v>4</v>
      </c>
      <c r="G342" s="8">
        <v>8500</v>
      </c>
      <c r="H342" s="9">
        <f>F342*G342</f>
        <v>34000.0</v>
      </c>
    </row>
    <row r="343" spans="1:8" ht="68" customHeight="1">
      <c r="A343" s="6">
        <v>323</v>
      </c>
      <c r="B343" s="6" t="s">
        <v>462</v>
      </c>
      <c r="C343" s="7" t="s">
        <v>473</v>
      </c>
      <c r="E343" s="6" t="s">
        <v>48</v>
      </c>
      <c r="F343" s="6">
        <v>4</v>
      </c>
      <c r="G343" s="8">
        <v>8500</v>
      </c>
      <c r="H343" s="9">
        <f>F343*G343</f>
        <v>34000.0</v>
      </c>
    </row>
    <row r="344" spans="1:8" ht="68" customHeight="1">
      <c r="A344" s="6">
        <v>324</v>
      </c>
      <c r="B344" s="6" t="s">
        <v>462</v>
      </c>
      <c r="C344" s="7" t="s">
        <v>474</v>
      </c>
      <c r="E344" s="6" t="s">
        <v>48</v>
      </c>
      <c r="F344" s="6">
        <v>4</v>
      </c>
      <c r="G344" s="8">
        <v>8500</v>
      </c>
      <c r="H344" s="9">
        <f>F344*G344</f>
        <v>34000.0</v>
      </c>
    </row>
    <row r="345" spans="1:8" ht="68" customHeight="1">
      <c r="A345" s="6">
        <v>325</v>
      </c>
      <c r="B345" s="6" t="s">
        <v>462</v>
      </c>
      <c r="C345" s="7" t="s">
        <v>475</v>
      </c>
      <c r="E345" s="6" t="s">
        <v>73</v>
      </c>
      <c r="F345" s="6">
        <v>8</v>
      </c>
      <c r="G345" s="8">
        <v>427</v>
      </c>
      <c r="H345" s="9">
        <f>F345*G345</f>
        <v>3416.0</v>
      </c>
    </row>
    <row r="346" spans="1:8" ht="68" customHeight="1">
      <c r="A346" s="6">
        <v>326</v>
      </c>
      <c r="B346" s="6" t="s">
        <v>462</v>
      </c>
      <c r="C346" s="7" t="s">
        <v>476</v>
      </c>
      <c r="E346" s="6" t="s">
        <v>21</v>
      </c>
      <c r="F346" s="6">
        <v>1</v>
      </c>
      <c r="G346" s="8">
        <v>28500</v>
      </c>
      <c r="H346" s="9">
        <f>F346*G346</f>
        <v>28500.0</v>
      </c>
    </row>
    <row r="347" spans="1:8" ht="68" customHeight="1">
      <c r="A347" s="6">
        <v>327</v>
      </c>
      <c r="B347" s="6" t="s">
        <v>462</v>
      </c>
      <c r="C347" s="7" t="s">
        <v>477</v>
      </c>
      <c r="E347" s="6" t="s">
        <v>21</v>
      </c>
      <c r="F347" s="6">
        <v>1</v>
      </c>
      <c r="G347" s="8">
        <v>279</v>
      </c>
      <c r="H347" s="9">
        <f>F347*G347</f>
        <v>279.0</v>
      </c>
    </row>
    <row r="348" spans="1:8" ht="28" customHeight="1">
      <c r="A348" s="10" t="s">
        <v>478</v>
      </c>
      <c r="B348" s="10"/>
      <c r="C348" s="10"/>
      <c r="D348" s="10"/>
      <c r="E348" s="10"/>
      <c r="F348" s="10"/>
      <c r="G348" s="10"/>
      <c r="H348" s="11">
        <f>SUM(H7:H347)</f>
        <v>0</v>
      </c>
    </row>
  </sheetData>
  <mergeCells count="20">
    <mergeCell ref="A1:H1"/>
    <mergeCell ref="A2:H2"/>
    <mergeCell ref="A3:H3"/>
    <mergeCell ref="B4:D4"/>
    <mergeCell ref="E4:H4"/>
    <mergeCell ref="A7:H7"/>
    <mergeCell ref="A36:H36"/>
    <mergeCell ref="A65:H65"/>
    <mergeCell ref="A94:H94"/>
    <mergeCell ref="A115:H115"/>
    <mergeCell ref="A156:H156"/>
    <mergeCell ref="A167:H167"/>
    <mergeCell ref="A208:H208"/>
    <mergeCell ref="A239:H239"/>
    <mergeCell ref="A259:H259"/>
    <mergeCell ref="A280:H280"/>
    <mergeCell ref="A299:H299"/>
    <mergeCell ref="A318:H318"/>
    <mergeCell ref="A331:H331"/>
    <mergeCell ref="A348:G3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Makerspace Full 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2026-10-16T03:24:44Z</dcterms:created>
  <dcterms:modified xsi:type="dcterms:W3CDTF">2026-10-16T03:24:44Z</dcterms:modified>
</cp:coreProperties>
</file>